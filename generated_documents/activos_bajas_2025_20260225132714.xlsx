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MACEN-2\Desktop\"/>
    </mc:Choice>
  </mc:AlternateContent>
  <bookViews>
    <workbookView xWindow="0" yWindow="0" windowWidth="15945" windowHeight="12270"/>
  </bookViews>
  <sheets>
    <sheet name="Activos depreciables bajas" sheetId="1" r:id="rId1"/>
  </sheets>
  <calcPr calcId="162913"/>
</workbook>
</file>

<file path=xl/calcChain.xml><?xml version="1.0" encoding="utf-8"?>
<calcChain xmlns="http://schemas.openxmlformats.org/spreadsheetml/2006/main">
  <c r="AJ29" i="1" l="1"/>
  <c r="Z88" i="1"/>
  <c r="P59" i="1"/>
  <c r="H24" i="1" l="1"/>
  <c r="R54" i="1"/>
  <c r="AL27" i="1"/>
  <c r="AB83" i="1" l="1"/>
</calcChain>
</file>

<file path=xl/sharedStrings.xml><?xml version="1.0" encoding="utf-8"?>
<sst xmlns="http://schemas.openxmlformats.org/spreadsheetml/2006/main" count="458" uniqueCount="260">
  <si>
    <t xml:space="preserve"> </t>
  </si>
  <si>
    <t>INVENTARIO ACTIVOS FIJOS PARA DAR DE BAJA</t>
  </si>
  <si>
    <t>EQUIPOS INDUSTRIALES</t>
  </si>
  <si>
    <t>EQUIPOS BIOMÉDICOS</t>
  </si>
  <si>
    <t xml:space="preserve">                    MUEBLES Y ENSERES</t>
  </si>
  <si>
    <t xml:space="preserve">EQUIPOS DE COMPUTO </t>
  </si>
  <si>
    <t>COD ACTIVO FIJO</t>
  </si>
  <si>
    <t>DESCRIPCION</t>
  </si>
  <si>
    <t>COSTO INICIAL</t>
  </si>
  <si>
    <t>SALDO POR DEPRECIAR</t>
  </si>
  <si>
    <t>FECHA ADQUISICIÓN</t>
  </si>
  <si>
    <t>MOTIVO DE BAJA</t>
  </si>
  <si>
    <t>COD DE ACTIVO FIJO</t>
  </si>
  <si>
    <t>FECHA DE ADQUISICIÓN</t>
  </si>
  <si>
    <t>SECADORA MARCA SICCEL</t>
  </si>
  <si>
    <t>$ 10.695.000,00</t>
  </si>
  <si>
    <t>Por ausencia de componentes electronicos y carcasas en malas condiciones fisicas</t>
  </si>
  <si>
    <t>BASCULA</t>
  </si>
  <si>
    <t>$ 284.200,00</t>
  </si>
  <si>
    <t>Multiples fallas en su funcionamiento</t>
  </si>
  <si>
    <t>SILLA PLASTICA BLANCA</t>
  </si>
  <si>
    <t>Por daño irreparable</t>
  </si>
  <si>
    <t>TORRE - DESKTOP HP</t>
  </si>
  <si>
    <t>Daño general en varios componentes del equipo</t>
  </si>
  <si>
    <t>AIRE ACONDICIONADO</t>
  </si>
  <si>
    <t>$ 1.392.000,00</t>
  </si>
  <si>
    <t>Daño interno de sus componentes</t>
  </si>
  <si>
    <t>BASCULA CON TALLIMETRO</t>
  </si>
  <si>
    <t>$ 1.960.400,00</t>
  </si>
  <si>
    <t>Por obsolecencia y daños irreparable</t>
  </si>
  <si>
    <t xml:space="preserve">SILLA ERGONOMICA VERDE </t>
  </si>
  <si>
    <t>$ 299.280,00</t>
  </si>
  <si>
    <t>TORRE - AIO HP</t>
  </si>
  <si>
    <t xml:space="preserve">Por problemas electricos en los componentes internos </t>
  </si>
  <si>
    <t>$ 2.552.000,00</t>
  </si>
  <si>
    <t>AUTOCLAVE</t>
  </si>
  <si>
    <t>$ 20.577.000,00</t>
  </si>
  <si>
    <t>Multiples elementos internos dañados</t>
  </si>
  <si>
    <t>$ 329.440,00</t>
  </si>
  <si>
    <t>Por problema en placa base (board) y obsolencia en general del equipo</t>
  </si>
  <si>
    <t>$ 7.880.000,00</t>
  </si>
  <si>
    <t>BASCULA PEDIATRICA</t>
  </si>
  <si>
    <t>$ 1.428.000,00</t>
  </si>
  <si>
    <t>$ 216.920,00</t>
  </si>
  <si>
    <t>TORRE- AIO HP</t>
  </si>
  <si>
    <t>Por fallas en varios componentes en general</t>
  </si>
  <si>
    <t>LAMPARA CIELÍTICA</t>
  </si>
  <si>
    <t>$ 13.550.000,00</t>
  </si>
  <si>
    <t>Multiples daños en sus elementos internos</t>
  </si>
  <si>
    <t>0051</t>
  </si>
  <si>
    <t>SILLA METALICA NEGRA</t>
  </si>
  <si>
    <t>Porque ya no enciende, problema en fuertes de poder, board y disco</t>
  </si>
  <si>
    <t>$ 1.375.000,00</t>
  </si>
  <si>
    <t>INCUBADORA DE TRANSPORTE</t>
  </si>
  <si>
    <t>$ 26.216.000,00</t>
  </si>
  <si>
    <t>0052</t>
  </si>
  <si>
    <t>SILLA METALICA VERDE</t>
  </si>
  <si>
    <t>Por obsolencia</t>
  </si>
  <si>
    <t>---</t>
  </si>
  <si>
    <t xml:space="preserve">AIRE ACONDICIONADO MARCA LENOXX </t>
  </si>
  <si>
    <t>LAMPARA PEDESTAL</t>
  </si>
  <si>
    <t xml:space="preserve">SILLA DE RUEDAS </t>
  </si>
  <si>
    <t>Fallas en la placa base (board)</t>
  </si>
  <si>
    <t>NEVERA</t>
  </si>
  <si>
    <t>$ 922.150,00</t>
  </si>
  <si>
    <t>MONITOR DE SIGNOS VITALES</t>
  </si>
  <si>
    <t>$ 7.772.000,00</t>
  </si>
  <si>
    <t>0761</t>
  </si>
  <si>
    <t>SILLA ERGONOMICA VERDE</t>
  </si>
  <si>
    <t>$ 179.800,00</t>
  </si>
  <si>
    <t>Fallas generales en su funcionamiento</t>
  </si>
  <si>
    <t>$ 715.000,00</t>
  </si>
  <si>
    <t>LAMPARA CUELLO CISNE</t>
  </si>
  <si>
    <t>$ 120.000,00</t>
  </si>
  <si>
    <t>SILLA RECLINABLE</t>
  </si>
  <si>
    <t>$ 379.905,00</t>
  </si>
  <si>
    <t>TELEFAX</t>
  </si>
  <si>
    <t>RELOJ RADICADOR</t>
  </si>
  <si>
    <t>$ 3.306.000,00</t>
  </si>
  <si>
    <t>Daño en su controlador principal</t>
  </si>
  <si>
    <t>TANDEM 3 PUESTOS AZUL</t>
  </si>
  <si>
    <t>RADIO TELEFONO PANASONIC</t>
  </si>
  <si>
    <t>$ 409.705,00</t>
  </si>
  <si>
    <t>Deterioro en multiples componentes del activo</t>
  </si>
  <si>
    <t xml:space="preserve">SILLA ERGONÓMICA </t>
  </si>
  <si>
    <t>0657</t>
  </si>
  <si>
    <t>TELEFONO PANASONIC</t>
  </si>
  <si>
    <t>Fallas tecnicos en el hardware (varios implementos)</t>
  </si>
  <si>
    <t>ENFRIADOR VERTICAL</t>
  </si>
  <si>
    <t>ASPIRADOR DE PEDESTAL</t>
  </si>
  <si>
    <t>$ 1.672.638,00</t>
  </si>
  <si>
    <t>Falla en elementos principales de activo</t>
  </si>
  <si>
    <t>TANDEM 4 PUESTOS AZUL</t>
  </si>
  <si>
    <t>$ 357.000,00</t>
  </si>
  <si>
    <t>EQUIPO DE COMPUTO SERVIDOR</t>
  </si>
  <si>
    <t>Por obsolecencia y tecnología</t>
  </si>
  <si>
    <t>0501</t>
  </si>
  <si>
    <t>ESPIROMETRO</t>
  </si>
  <si>
    <t>$ 12.342.980,00</t>
  </si>
  <si>
    <t>Falla en el sistema de espirometria  componente principal</t>
  </si>
  <si>
    <t>LATOP DELL</t>
  </si>
  <si>
    <t>Por obsolecencia tecnológica</t>
  </si>
  <si>
    <t>EXTINTOR ROJO</t>
  </si>
  <si>
    <t xml:space="preserve">Por daño en sus componentes externos </t>
  </si>
  <si>
    <t>0746</t>
  </si>
  <si>
    <t>NEBULIZADOR</t>
  </si>
  <si>
    <t>$ 681.000,00</t>
  </si>
  <si>
    <t>CARRO DE SUPERMERCADO</t>
  </si>
  <si>
    <t>$ 240.350,00</t>
  </si>
  <si>
    <t>por obsolecencia tecnológica</t>
  </si>
  <si>
    <t>EXTINTOR AMARILLO</t>
  </si>
  <si>
    <t>$ 6.150.000,00</t>
  </si>
  <si>
    <t>Equipo inutilizable y varios componentes internos ya no funcionan.</t>
  </si>
  <si>
    <t>TANDEM 3 PUESTOS NEGRO</t>
  </si>
  <si>
    <t>EQUIPO DE COMPUTO PORTATIL</t>
  </si>
  <si>
    <t>Fallas repetitivas</t>
  </si>
  <si>
    <t>Varios componentes internos presentan daños internos</t>
  </si>
  <si>
    <t>SILLA PLASTICA CON BRAZOS</t>
  </si>
  <si>
    <t>$ 19.500,00</t>
  </si>
  <si>
    <t>Fallas en componentes internos</t>
  </si>
  <si>
    <t>25/08/2010</t>
  </si>
  <si>
    <t>Daño irreparable en sus componentes internos</t>
  </si>
  <si>
    <t>Falla critica en tarjeta de modulo</t>
  </si>
  <si>
    <t xml:space="preserve">SILLA ERGONOMICA </t>
  </si>
  <si>
    <t>Fallas  criticas en el board</t>
  </si>
  <si>
    <t>$ 14.600.000,00</t>
  </si>
  <si>
    <t>Falla critica en tarjeta principal</t>
  </si>
  <si>
    <t>SILLA DE RUEDAS</t>
  </si>
  <si>
    <t>$ 285.000,00</t>
  </si>
  <si>
    <t>Fallas en board y disco duro</t>
  </si>
  <si>
    <t>$ 4.396.400,00</t>
  </si>
  <si>
    <t>$ 455.000,00</t>
  </si>
  <si>
    <t xml:space="preserve">Por obsolecencia </t>
  </si>
  <si>
    <t>TOTAL POR DEPRECIAR  EQUIPOS INDUSTRIALES</t>
  </si>
  <si>
    <t>$ 5.099.999,16</t>
  </si>
  <si>
    <t xml:space="preserve">EQUIPO CELULAR </t>
  </si>
  <si>
    <t>Daño en barios componentes internos</t>
  </si>
  <si>
    <t>ECOGRAFO PORTATIL</t>
  </si>
  <si>
    <t>$ 51.741.800,00</t>
  </si>
  <si>
    <t>ATRIL PORTASUERO</t>
  </si>
  <si>
    <t>$ 345.100,00</t>
  </si>
  <si>
    <t>Falla en tactil</t>
  </si>
  <si>
    <t>TERMOHIGROMETRO DIGITAL PARA NEVERA</t>
  </si>
  <si>
    <t>$ 85.840,00</t>
  </si>
  <si>
    <t xml:space="preserve">BUTACO </t>
  </si>
  <si>
    <t>0558</t>
  </si>
  <si>
    <t>TORRE DESKTOP HP SERVIDOR</t>
  </si>
  <si>
    <t>FOTOMETRO HUMAREADER</t>
  </si>
  <si>
    <t>$ 23.258.000,00</t>
  </si>
  <si>
    <t>Obsolecencia tecnologica</t>
  </si>
  <si>
    <t>COMPRESERO</t>
  </si>
  <si>
    <t>$ 250.000,00</t>
  </si>
  <si>
    <t>TOTAL POR DEPRECIAR  EQUIPOS DE CÓMPUTO</t>
  </si>
  <si>
    <t>TENSIOMETRO DE PARED</t>
  </si>
  <si>
    <t>$ 708.724,00</t>
  </si>
  <si>
    <t>Deterioro membrana interna</t>
  </si>
  <si>
    <t>$ 82.000,00</t>
  </si>
  <si>
    <t>0423</t>
  </si>
  <si>
    <t>SILLA ERGONOMICA</t>
  </si>
  <si>
    <t>$ 168.200,00</t>
  </si>
  <si>
    <t>0637</t>
  </si>
  <si>
    <t>MAQUINA DE ESCRIBIR</t>
  </si>
  <si>
    <t>$ 656.737,00</t>
  </si>
  <si>
    <t>por obsolecencia</t>
  </si>
  <si>
    <t>$ 5.050.000,00</t>
  </si>
  <si>
    <t>Falla tarjeta Sp02</t>
  </si>
  <si>
    <t>0654</t>
  </si>
  <si>
    <t>SUMADORA</t>
  </si>
  <si>
    <t>$ 235.315,00</t>
  </si>
  <si>
    <t>MONITOR DE SIGNOS VITALES CON CAPNOGRAFIA</t>
  </si>
  <si>
    <t>$ 10.324.000,00</t>
  </si>
  <si>
    <t>Falla en modulo controlador potencia de arranque</t>
  </si>
  <si>
    <t>IMPRESORA</t>
  </si>
  <si>
    <t>$ 754.000,00</t>
  </si>
  <si>
    <t xml:space="preserve">Falla en  microcontrolador de interruptores internos </t>
  </si>
  <si>
    <t xml:space="preserve">CARRO DE TRANSPORTE DE ALIMENTOS </t>
  </si>
  <si>
    <t>$ 921.492,00</t>
  </si>
  <si>
    <t>SENSOR DE TEMPERATURA MULTIPARÁMETROS</t>
  </si>
  <si>
    <t>$ 2.778.650,00</t>
  </si>
  <si>
    <t xml:space="preserve">Falla en  microcontrolador de interruptores externos </t>
  </si>
  <si>
    <t>ESTUFA 3 BOQUILLAS</t>
  </si>
  <si>
    <t>Por daño irreparable y daño significativo en sus componentes</t>
  </si>
  <si>
    <t>ESTIMULADOR TEMS</t>
  </si>
  <si>
    <t xml:space="preserve">Fallo en distribucion electrica </t>
  </si>
  <si>
    <t xml:space="preserve">BUGGY </t>
  </si>
  <si>
    <t>$ 110.000,00</t>
  </si>
  <si>
    <t>Por daño irreparable y significativo en su estructura</t>
  </si>
  <si>
    <t>PULSOXIMETRO PORTATIL</t>
  </si>
  <si>
    <t>Fractura puerto de ingreso sistema sp02</t>
  </si>
  <si>
    <t>CAMILLA DE TRANSPORTE</t>
  </si>
  <si>
    <t>$ 1.207.201,00</t>
  </si>
  <si>
    <t>CUNA METÁLICA PEQUEÑA</t>
  </si>
  <si>
    <t>Fractura interna en pines de puerto del equipo</t>
  </si>
  <si>
    <t>CAMILLA CON BARANDAS</t>
  </si>
  <si>
    <t>$ 3.800.000,00</t>
  </si>
  <si>
    <t>Fallas criticas tarjeta principal</t>
  </si>
  <si>
    <t>0848</t>
  </si>
  <si>
    <t>ASPIRADOR</t>
  </si>
  <si>
    <t>Falla embobinado compresor</t>
  </si>
  <si>
    <t>$ 2.300.000,00</t>
  </si>
  <si>
    <t xml:space="preserve">CARTELERA DE MADERA </t>
  </si>
  <si>
    <t>Roturas en su estructura y desgastes fisico evidentes</t>
  </si>
  <si>
    <t>TERMOHIGROMETRO</t>
  </si>
  <si>
    <t>$ 6.499.999,66</t>
  </si>
  <si>
    <t>0538</t>
  </si>
  <si>
    <t>DIATERMIA</t>
  </si>
  <si>
    <t>Falla sistema de corrientes electromagneticas</t>
  </si>
  <si>
    <t>$ 809.680,00</t>
  </si>
  <si>
    <t>ELECTROCARDIÓGRAFO</t>
  </si>
  <si>
    <t>Daño significativo en sus componentes electrónicos</t>
  </si>
  <si>
    <t>Daño irreparable en sus componentes electronicos</t>
  </si>
  <si>
    <t>CAMA PEDIATRICA</t>
  </si>
  <si>
    <t>$ 4.399.999,00</t>
  </si>
  <si>
    <t>Daño mecanico y electrónicos irreparables</t>
  </si>
  <si>
    <t>TENSIOMETRO</t>
  </si>
  <si>
    <t>Fallas mecanicas irreparables que afectan su precision</t>
  </si>
  <si>
    <t>0778</t>
  </si>
  <si>
    <t>SILLA METALICA</t>
  </si>
  <si>
    <t xml:space="preserve">por daño irreparable </t>
  </si>
  <si>
    <t>BASCULA DE PISO</t>
  </si>
  <si>
    <t xml:space="preserve">DISPENSADOR DE AGUA </t>
  </si>
  <si>
    <t>por daño irreparable en sus estructuras</t>
  </si>
  <si>
    <t>0541</t>
  </si>
  <si>
    <t>ESTIMULADOR ELECTRICO</t>
  </si>
  <si>
    <t>Altos costos de mantenimientos</t>
  </si>
  <si>
    <t>ASPIRADOR PEDESTAL</t>
  </si>
  <si>
    <t>Fallas compresor, elemento principal</t>
  </si>
  <si>
    <t>TERMOMETRO ANALOGO</t>
  </si>
  <si>
    <t>Daño irrepables significativos</t>
  </si>
  <si>
    <t>0003</t>
  </si>
  <si>
    <t xml:space="preserve">ARCHIVADOR </t>
  </si>
  <si>
    <t>0751</t>
  </si>
  <si>
    <t>ESCALERILLA DOS PASOS</t>
  </si>
  <si>
    <t>TOTAL POR DEPRECIAR  EQUIPOS BIOMÉDICOS</t>
  </si>
  <si>
    <t>0528</t>
  </si>
  <si>
    <t>0531</t>
  </si>
  <si>
    <t xml:space="preserve">ALTO PARLANTE </t>
  </si>
  <si>
    <t xml:space="preserve">CAMILLA FIJA DIVAN </t>
  </si>
  <si>
    <t>SOFA CAMA</t>
  </si>
  <si>
    <t>CUNA FIJA PEDIATRICA</t>
  </si>
  <si>
    <t>0015</t>
  </si>
  <si>
    <t>0491</t>
  </si>
  <si>
    <t xml:space="preserve">SILLA ERGONIMICA </t>
  </si>
  <si>
    <t xml:space="preserve">CAMA PEDIATRICA </t>
  </si>
  <si>
    <t>SILLA PLASTICA PLAYERA</t>
  </si>
  <si>
    <t xml:space="preserve">CAMILLA GINECOLOGICA </t>
  </si>
  <si>
    <t>CAMILLA TRANSPORTE</t>
  </si>
  <si>
    <t xml:space="preserve">VITRINA METALICA </t>
  </si>
  <si>
    <t>0892</t>
  </si>
  <si>
    <t xml:space="preserve">SILLA PLASTICA </t>
  </si>
  <si>
    <t>0784</t>
  </si>
  <si>
    <t>MESA DE MAYO</t>
  </si>
  <si>
    <t>0955</t>
  </si>
  <si>
    <t>ARCHIVADOR METALICO</t>
  </si>
  <si>
    <t>0520</t>
  </si>
  <si>
    <t>BICICLETA ESTATICA</t>
  </si>
  <si>
    <t>Por daño irreparable en sus sistema mecanico de pedaleo</t>
  </si>
  <si>
    <t>Daña en su estructura en general</t>
  </si>
  <si>
    <t>0527</t>
  </si>
  <si>
    <t>TOTAL POR DEPRECIAR  MUEBLES Y ENSERES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</si>
</sst>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d/m/yyyy"/>
    <numFmt numFmtId="166" formatCode="dd\-mm\-yyyy"/>
    <numFmt numFmtId="167" formatCode="d\-m\-yyyy"/>
  </numFmts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4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7" fontId="3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 wrapText="1"/>
    </xf>
    <xf numFmtId="167" fontId="3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164" fontId="3" fillId="4" borderId="4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6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/>
    <xf numFmtId="164" fontId="6" fillId="0" borderId="1" xfId="0" applyNumberFormat="1" applyFont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quotePrefix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164" fontId="5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/>
    <xf numFmtId="164" fontId="3" fillId="0" borderId="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/>
    <xf numFmtId="0" fontId="3" fillId="2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C78D8"/>
    <outlinePr summaryBelow="0" summaryRight="0"/>
    <pageSetUpPr fitToPage="1"/>
  </sheetPr>
  <dimension ref="B1:AP997"/>
  <sheetViews>
    <sheetView showGridLines="0" tabSelected="1" workbookViewId="0">
      <selection activeCell="K9" sqref="K9"/>
    </sheetView>
  </sheetViews>
  <sheetFormatPr baseColWidth="10" defaultColWidth="12.5703125" defaultRowHeight="15.75" customHeight="1" x14ac:dyDescent="0.2"/>
  <cols>
    <col min="3" max="3" width="4.7109375" customWidth="1"/>
    <col min="5" max="5" width="14.85546875" customWidth="1"/>
    <col min="6" max="6" width="13.7109375" bestFit="1" customWidth="1"/>
    <col min="7" max="7" width="11.5703125" customWidth="1"/>
    <col min="8" max="8" width="23.28515625" customWidth="1"/>
    <col min="9" max="9" width="20.140625" customWidth="1"/>
    <col min="10" max="10" width="22.42578125" customWidth="1"/>
    <col min="13" max="13" width="7.42578125" customWidth="1"/>
    <col min="15" max="15" width="16.42578125" customWidth="1"/>
    <col min="16" max="16" width="14.7109375" bestFit="1" customWidth="1"/>
    <col min="17" max="17" width="5.28515625" customWidth="1"/>
    <col min="18" max="18" width="23.42578125" customWidth="1"/>
    <col min="19" max="19" width="23.28515625" customWidth="1"/>
    <col min="20" max="20" width="17.28515625" customWidth="1"/>
    <col min="23" max="23" width="4.28515625" customWidth="1"/>
    <col min="25" max="25" width="27.140625" customWidth="1"/>
    <col min="26" max="26" width="13.7109375" bestFit="1" customWidth="1"/>
    <col min="27" max="27" width="1.85546875" customWidth="1"/>
    <col min="28" max="28" width="23.5703125" customWidth="1"/>
    <col min="29" max="29" width="23.140625" customWidth="1"/>
    <col min="30" max="30" width="24.140625" customWidth="1"/>
    <col min="33" max="33" width="4.42578125" customWidth="1"/>
    <col min="35" max="35" width="21.85546875" customWidth="1"/>
    <col min="36" max="36" width="13.7109375" bestFit="1" customWidth="1"/>
    <col min="37" max="37" width="3.42578125" customWidth="1"/>
    <col min="38" max="38" width="23.28515625" customWidth="1"/>
    <col min="39" max="39" width="23.42578125" customWidth="1"/>
    <col min="40" max="40" width="18" customWidth="1"/>
    <col min="41" max="42" width="14.7109375" customWidth="1"/>
  </cols>
  <sheetData>
    <row r="1" spans="2:42" ht="12.75" x14ac:dyDescent="0.2">
      <c r="B1" s="56" t="s">
        <v>0</v>
      </c>
      <c r="C1" s="57"/>
      <c r="D1" s="57"/>
      <c r="E1" s="57"/>
      <c r="F1" s="57"/>
      <c r="G1" s="57"/>
      <c r="H1" s="57"/>
      <c r="I1" s="57"/>
      <c r="J1" s="41"/>
      <c r="K1" s="1"/>
      <c r="L1" s="56" t="s">
        <v>1</v>
      </c>
      <c r="M1" s="57"/>
      <c r="N1" s="57"/>
      <c r="O1" s="57"/>
      <c r="P1" s="57"/>
      <c r="Q1" s="57"/>
      <c r="R1" s="57"/>
      <c r="S1" s="57"/>
      <c r="T1" s="41"/>
      <c r="U1" s="1"/>
      <c r="V1" s="56" t="s">
        <v>1</v>
      </c>
      <c r="W1" s="57"/>
      <c r="X1" s="57"/>
      <c r="Y1" s="57"/>
      <c r="Z1" s="57"/>
      <c r="AA1" s="57"/>
      <c r="AB1" s="57"/>
      <c r="AC1" s="57"/>
      <c r="AD1" s="41"/>
      <c r="AE1" s="1"/>
      <c r="AF1" s="56" t="s">
        <v>1</v>
      </c>
      <c r="AG1" s="57"/>
      <c r="AH1" s="57"/>
      <c r="AI1" s="57"/>
      <c r="AJ1" s="57"/>
      <c r="AK1" s="57"/>
      <c r="AL1" s="57"/>
      <c r="AM1" s="57"/>
      <c r="AN1" s="41"/>
      <c r="AO1" s="2"/>
      <c r="AP1" s="2"/>
    </row>
    <row r="2" spans="2:42" ht="12.75" x14ac:dyDescent="0.2">
      <c r="B2" s="73"/>
      <c r="C2" s="57"/>
      <c r="D2" s="57"/>
      <c r="E2" s="57"/>
      <c r="F2" s="57"/>
      <c r="G2" s="57"/>
      <c r="H2" s="57"/>
      <c r="I2" s="57"/>
      <c r="J2" s="41"/>
      <c r="K2" s="1"/>
      <c r="L2" s="73"/>
      <c r="M2" s="57"/>
      <c r="N2" s="57"/>
      <c r="O2" s="57"/>
      <c r="P2" s="57"/>
      <c r="Q2" s="57"/>
      <c r="R2" s="57"/>
      <c r="S2" s="57"/>
      <c r="T2" s="41"/>
      <c r="U2" s="1"/>
      <c r="V2" s="73"/>
      <c r="W2" s="57"/>
      <c r="X2" s="57"/>
      <c r="Y2" s="57"/>
      <c r="Z2" s="57"/>
      <c r="AA2" s="57"/>
      <c r="AB2" s="57"/>
      <c r="AC2" s="57"/>
      <c r="AD2" s="41"/>
      <c r="AE2" s="1"/>
      <c r="AF2" s="73"/>
      <c r="AG2" s="57"/>
      <c r="AH2" s="57"/>
      <c r="AI2" s="57"/>
      <c r="AJ2" s="57"/>
      <c r="AK2" s="57"/>
      <c r="AL2" s="57"/>
      <c r="AM2" s="57"/>
      <c r="AN2" s="41"/>
      <c r="AO2" s="1"/>
      <c r="AP2" s="1"/>
    </row>
    <row r="3" spans="2:42" ht="12.75" x14ac:dyDescent="0.2">
      <c r="B3" s="56" t="s">
        <v>2</v>
      </c>
      <c r="C3" s="57"/>
      <c r="D3" s="57"/>
      <c r="E3" s="57"/>
      <c r="F3" s="57"/>
      <c r="G3" s="57"/>
      <c r="H3" s="57"/>
      <c r="I3" s="57"/>
      <c r="J3" s="41"/>
      <c r="K3" s="1"/>
      <c r="L3" s="56" t="s">
        <v>3</v>
      </c>
      <c r="M3" s="57"/>
      <c r="N3" s="57"/>
      <c r="O3" s="57"/>
      <c r="P3" s="57"/>
      <c r="Q3" s="57"/>
      <c r="R3" s="57"/>
      <c r="S3" s="57"/>
      <c r="T3" s="41"/>
      <c r="U3" s="1"/>
      <c r="V3" s="56" t="s">
        <v>4</v>
      </c>
      <c r="W3" s="57"/>
      <c r="X3" s="57"/>
      <c r="Y3" s="57"/>
      <c r="Z3" s="57"/>
      <c r="AA3" s="57"/>
      <c r="AB3" s="57"/>
      <c r="AC3" s="57"/>
      <c r="AD3" s="41"/>
      <c r="AE3" s="1"/>
      <c r="AF3" s="56" t="s">
        <v>5</v>
      </c>
      <c r="AG3" s="57"/>
      <c r="AH3" s="57"/>
      <c r="AI3" s="57"/>
      <c r="AJ3" s="57"/>
      <c r="AK3" s="57"/>
      <c r="AL3" s="57"/>
      <c r="AM3" s="57"/>
      <c r="AN3" s="41"/>
      <c r="AO3" s="2"/>
      <c r="AP3" s="2"/>
    </row>
    <row r="4" spans="2:42" ht="12.75" x14ac:dyDescent="0.2">
      <c r="B4" s="56" t="s">
        <v>6</v>
      </c>
      <c r="C4" s="41"/>
      <c r="D4" s="70" t="s">
        <v>7</v>
      </c>
      <c r="E4" s="41"/>
      <c r="F4" s="70" t="s">
        <v>8</v>
      </c>
      <c r="G4" s="41"/>
      <c r="H4" s="3" t="s">
        <v>9</v>
      </c>
      <c r="I4" s="4" t="s">
        <v>10</v>
      </c>
      <c r="J4" s="4" t="s">
        <v>11</v>
      </c>
      <c r="K4" s="1"/>
      <c r="L4" s="71" t="s">
        <v>12</v>
      </c>
      <c r="M4" s="72"/>
      <c r="N4" s="74" t="s">
        <v>7</v>
      </c>
      <c r="O4" s="72"/>
      <c r="P4" s="70" t="s">
        <v>8</v>
      </c>
      <c r="Q4" s="41"/>
      <c r="R4" s="3" t="s">
        <v>9</v>
      </c>
      <c r="S4" s="4" t="s">
        <v>13</v>
      </c>
      <c r="T4" s="4" t="s">
        <v>11</v>
      </c>
      <c r="U4" s="5"/>
      <c r="V4" s="56" t="s">
        <v>6</v>
      </c>
      <c r="W4" s="41"/>
      <c r="X4" s="70" t="s">
        <v>7</v>
      </c>
      <c r="Y4" s="41"/>
      <c r="Z4" s="70" t="s">
        <v>8</v>
      </c>
      <c r="AA4" s="41"/>
      <c r="AB4" s="6" t="s">
        <v>9</v>
      </c>
      <c r="AC4" s="4" t="s">
        <v>13</v>
      </c>
      <c r="AD4" s="4" t="s">
        <v>11</v>
      </c>
      <c r="AE4" s="1"/>
      <c r="AF4" s="56" t="s">
        <v>6</v>
      </c>
      <c r="AG4" s="41"/>
      <c r="AH4" s="70" t="s">
        <v>7</v>
      </c>
      <c r="AI4" s="41"/>
      <c r="AJ4" s="70" t="s">
        <v>8</v>
      </c>
      <c r="AK4" s="41"/>
      <c r="AL4" s="3" t="s">
        <v>9</v>
      </c>
      <c r="AM4" s="4" t="s">
        <v>13</v>
      </c>
      <c r="AN4" s="4" t="s">
        <v>11</v>
      </c>
      <c r="AO4" s="2"/>
      <c r="AP4" s="2"/>
    </row>
    <row r="5" spans="2:42" ht="52.5" customHeight="1" x14ac:dyDescent="0.2">
      <c r="B5" s="40">
        <v>2656</v>
      </c>
      <c r="C5" s="41"/>
      <c r="D5" s="49" t="s">
        <v>14</v>
      </c>
      <c r="E5" s="43"/>
      <c r="F5" s="51" t="s">
        <v>15</v>
      </c>
      <c r="G5" s="41"/>
      <c r="H5" s="7">
        <v>0</v>
      </c>
      <c r="I5" s="8">
        <v>36514</v>
      </c>
      <c r="J5" s="9" t="s">
        <v>16</v>
      </c>
      <c r="K5" s="1"/>
      <c r="L5" s="40">
        <v>2298</v>
      </c>
      <c r="M5" s="41"/>
      <c r="N5" s="49" t="s">
        <v>17</v>
      </c>
      <c r="O5" s="43"/>
      <c r="P5" s="51" t="s">
        <v>18</v>
      </c>
      <c r="Q5" s="41"/>
      <c r="R5" s="10">
        <v>0</v>
      </c>
      <c r="S5" s="11">
        <v>39028</v>
      </c>
      <c r="T5" s="9" t="s">
        <v>19</v>
      </c>
      <c r="U5" s="1"/>
      <c r="V5" s="40">
        <v>2893</v>
      </c>
      <c r="W5" s="41"/>
      <c r="X5" s="49" t="s">
        <v>20</v>
      </c>
      <c r="Y5" s="43"/>
      <c r="Z5" s="51">
        <v>19500</v>
      </c>
      <c r="AA5" s="41"/>
      <c r="AB5" s="10">
        <v>0</v>
      </c>
      <c r="AC5" s="12">
        <v>37501</v>
      </c>
      <c r="AD5" s="9" t="s">
        <v>21</v>
      </c>
      <c r="AE5" s="1"/>
      <c r="AF5" s="47">
        <v>5421</v>
      </c>
      <c r="AG5" s="41"/>
      <c r="AH5" s="49" t="s">
        <v>22</v>
      </c>
      <c r="AI5" s="43"/>
      <c r="AJ5" s="60">
        <v>1060622</v>
      </c>
      <c r="AK5" s="41"/>
      <c r="AL5" s="13">
        <v>0</v>
      </c>
      <c r="AM5" s="14">
        <v>43084</v>
      </c>
      <c r="AN5" s="15" t="s">
        <v>23</v>
      </c>
      <c r="AO5" s="16"/>
      <c r="AP5" s="16"/>
    </row>
    <row r="6" spans="2:42" ht="51" x14ac:dyDescent="0.2">
      <c r="B6" s="40">
        <v>2990</v>
      </c>
      <c r="C6" s="41"/>
      <c r="D6" s="49" t="s">
        <v>24</v>
      </c>
      <c r="E6" s="43"/>
      <c r="F6" s="51" t="s">
        <v>25</v>
      </c>
      <c r="G6" s="41"/>
      <c r="H6" s="7">
        <v>0</v>
      </c>
      <c r="I6" s="11">
        <v>37788</v>
      </c>
      <c r="J6" s="9" t="s">
        <v>26</v>
      </c>
      <c r="K6" s="1"/>
      <c r="L6" s="40">
        <v>5225</v>
      </c>
      <c r="M6" s="41"/>
      <c r="N6" s="49" t="s">
        <v>27</v>
      </c>
      <c r="O6" s="43"/>
      <c r="P6" s="51" t="s">
        <v>28</v>
      </c>
      <c r="Q6" s="41"/>
      <c r="R6" s="10">
        <v>0</v>
      </c>
      <c r="S6" s="11">
        <v>42543</v>
      </c>
      <c r="T6" s="9" t="s">
        <v>29</v>
      </c>
      <c r="U6" s="1"/>
      <c r="V6" s="40">
        <v>4601</v>
      </c>
      <c r="W6" s="41"/>
      <c r="X6" s="49" t="s">
        <v>30</v>
      </c>
      <c r="Y6" s="43"/>
      <c r="Z6" s="51" t="s">
        <v>31</v>
      </c>
      <c r="AA6" s="41"/>
      <c r="AB6" s="10">
        <v>0</v>
      </c>
      <c r="AC6" s="12">
        <v>41703</v>
      </c>
      <c r="AD6" s="9" t="s">
        <v>21</v>
      </c>
      <c r="AE6" s="1"/>
      <c r="AF6" s="47">
        <v>5404</v>
      </c>
      <c r="AG6" s="41"/>
      <c r="AH6" s="49" t="s">
        <v>32</v>
      </c>
      <c r="AI6" s="43"/>
      <c r="AJ6" s="60">
        <v>975687</v>
      </c>
      <c r="AK6" s="41"/>
      <c r="AL6" s="13">
        <v>0</v>
      </c>
      <c r="AM6" s="14">
        <v>43084</v>
      </c>
      <c r="AN6" s="15" t="s">
        <v>33</v>
      </c>
      <c r="AO6" s="16"/>
      <c r="AP6" s="16"/>
    </row>
    <row r="7" spans="2:42" ht="51" x14ac:dyDescent="0.2">
      <c r="B7" s="40">
        <v>4182</v>
      </c>
      <c r="C7" s="41"/>
      <c r="D7" s="49" t="s">
        <v>24</v>
      </c>
      <c r="E7" s="43"/>
      <c r="F7" s="51" t="s">
        <v>34</v>
      </c>
      <c r="G7" s="41"/>
      <c r="H7" s="7">
        <v>0</v>
      </c>
      <c r="I7" s="11">
        <v>41302</v>
      </c>
      <c r="J7" s="9" t="s">
        <v>26</v>
      </c>
      <c r="K7" s="1"/>
      <c r="L7" s="40">
        <v>3226</v>
      </c>
      <c r="M7" s="41"/>
      <c r="N7" s="49" t="s">
        <v>35</v>
      </c>
      <c r="O7" s="43"/>
      <c r="P7" s="51" t="s">
        <v>36</v>
      </c>
      <c r="Q7" s="41"/>
      <c r="R7" s="10">
        <v>0</v>
      </c>
      <c r="S7" s="8">
        <v>36524</v>
      </c>
      <c r="T7" s="9" t="s">
        <v>37</v>
      </c>
      <c r="U7" s="1"/>
      <c r="V7" s="40">
        <v>5095</v>
      </c>
      <c r="W7" s="41"/>
      <c r="X7" s="49" t="s">
        <v>30</v>
      </c>
      <c r="Y7" s="43"/>
      <c r="Z7" s="51" t="s">
        <v>38</v>
      </c>
      <c r="AA7" s="41"/>
      <c r="AB7" s="10">
        <v>0</v>
      </c>
      <c r="AC7" s="12">
        <v>42116</v>
      </c>
      <c r="AD7" s="9" t="s">
        <v>21</v>
      </c>
      <c r="AE7" s="1"/>
      <c r="AF7" s="47">
        <v>5399</v>
      </c>
      <c r="AG7" s="41"/>
      <c r="AH7" s="49" t="s">
        <v>32</v>
      </c>
      <c r="AI7" s="43"/>
      <c r="AJ7" s="60">
        <v>975687</v>
      </c>
      <c r="AK7" s="41"/>
      <c r="AL7" s="13">
        <v>0</v>
      </c>
      <c r="AM7" s="14">
        <v>43084</v>
      </c>
      <c r="AN7" s="15" t="s">
        <v>39</v>
      </c>
      <c r="AO7" s="16"/>
      <c r="AP7" s="16"/>
    </row>
    <row r="8" spans="2:42" ht="38.25" x14ac:dyDescent="0.2">
      <c r="B8" s="40">
        <v>4282</v>
      </c>
      <c r="C8" s="41"/>
      <c r="D8" s="49" t="s">
        <v>24</v>
      </c>
      <c r="E8" s="43"/>
      <c r="F8" s="51" t="s">
        <v>40</v>
      </c>
      <c r="G8" s="41"/>
      <c r="H8" s="7">
        <v>0</v>
      </c>
      <c r="I8" s="11">
        <v>41368</v>
      </c>
      <c r="J8" s="9" t="s">
        <v>26</v>
      </c>
      <c r="K8" s="1"/>
      <c r="L8" s="40">
        <v>5606</v>
      </c>
      <c r="M8" s="41"/>
      <c r="N8" s="49" t="s">
        <v>41</v>
      </c>
      <c r="O8" s="43"/>
      <c r="P8" s="51" t="s">
        <v>42</v>
      </c>
      <c r="Q8" s="41"/>
      <c r="R8" s="10">
        <v>0</v>
      </c>
      <c r="S8" s="11">
        <v>43334</v>
      </c>
      <c r="T8" s="9" t="s">
        <v>19</v>
      </c>
      <c r="U8" s="1"/>
      <c r="V8" s="40">
        <v>4486</v>
      </c>
      <c r="W8" s="41"/>
      <c r="X8" s="49" t="s">
        <v>30</v>
      </c>
      <c r="Y8" s="43"/>
      <c r="Z8" s="51" t="s">
        <v>43</v>
      </c>
      <c r="AA8" s="41"/>
      <c r="AB8" s="10">
        <v>0</v>
      </c>
      <c r="AC8" s="12">
        <v>41652</v>
      </c>
      <c r="AD8" s="9" t="s">
        <v>21</v>
      </c>
      <c r="AE8" s="1"/>
      <c r="AF8" s="47">
        <v>5395</v>
      </c>
      <c r="AG8" s="41"/>
      <c r="AH8" s="49" t="s">
        <v>44</v>
      </c>
      <c r="AI8" s="43"/>
      <c r="AJ8" s="60">
        <v>975687</v>
      </c>
      <c r="AK8" s="41"/>
      <c r="AL8" s="13">
        <v>0</v>
      </c>
      <c r="AM8" s="14">
        <v>43084</v>
      </c>
      <c r="AN8" s="15" t="s">
        <v>45</v>
      </c>
      <c r="AO8" s="16"/>
      <c r="AP8" s="16"/>
    </row>
    <row r="9" spans="2:42" ht="51" x14ac:dyDescent="0.2">
      <c r="B9" s="40">
        <v>4206</v>
      </c>
      <c r="C9" s="41"/>
      <c r="D9" s="49" t="s">
        <v>24</v>
      </c>
      <c r="E9" s="43"/>
      <c r="F9" s="51" t="s">
        <v>34</v>
      </c>
      <c r="G9" s="41"/>
      <c r="H9" s="7">
        <v>0</v>
      </c>
      <c r="I9" s="11">
        <v>41327</v>
      </c>
      <c r="J9" s="9" t="s">
        <v>26</v>
      </c>
      <c r="K9" s="1"/>
      <c r="L9" s="40">
        <v>2939</v>
      </c>
      <c r="M9" s="41"/>
      <c r="N9" s="49" t="s">
        <v>46</v>
      </c>
      <c r="O9" s="43"/>
      <c r="P9" s="51" t="s">
        <v>47</v>
      </c>
      <c r="Q9" s="41"/>
      <c r="R9" s="10">
        <v>0</v>
      </c>
      <c r="S9" s="11">
        <v>38628</v>
      </c>
      <c r="T9" s="9" t="s">
        <v>48</v>
      </c>
      <c r="U9" s="1"/>
      <c r="V9" s="48" t="s">
        <v>49</v>
      </c>
      <c r="W9" s="41"/>
      <c r="X9" s="49" t="s">
        <v>50</v>
      </c>
      <c r="Y9" s="43"/>
      <c r="Z9" s="51">
        <v>179800</v>
      </c>
      <c r="AA9" s="41"/>
      <c r="AB9" s="10">
        <v>0</v>
      </c>
      <c r="AC9" s="12">
        <v>38419</v>
      </c>
      <c r="AD9" s="9" t="s">
        <v>21</v>
      </c>
      <c r="AE9" s="1"/>
      <c r="AF9" s="47">
        <v>5476</v>
      </c>
      <c r="AG9" s="41"/>
      <c r="AH9" s="49" t="s">
        <v>22</v>
      </c>
      <c r="AI9" s="43"/>
      <c r="AJ9" s="60">
        <v>1060622</v>
      </c>
      <c r="AK9" s="41"/>
      <c r="AL9" s="13">
        <v>0</v>
      </c>
      <c r="AM9" s="14">
        <v>43084</v>
      </c>
      <c r="AN9" s="9" t="s">
        <v>51</v>
      </c>
      <c r="AO9" s="17"/>
      <c r="AP9" s="17"/>
    </row>
    <row r="10" spans="2:42" ht="38.25" x14ac:dyDescent="0.2">
      <c r="B10" s="40">
        <v>4760</v>
      </c>
      <c r="C10" s="41"/>
      <c r="D10" s="49" t="s">
        <v>24</v>
      </c>
      <c r="E10" s="43"/>
      <c r="F10" s="51" t="s">
        <v>52</v>
      </c>
      <c r="G10" s="41"/>
      <c r="H10" s="7">
        <v>0</v>
      </c>
      <c r="I10" s="11">
        <v>41829</v>
      </c>
      <c r="J10" s="9" t="s">
        <v>26</v>
      </c>
      <c r="K10" s="1"/>
      <c r="L10" s="40">
        <v>5212</v>
      </c>
      <c r="M10" s="41"/>
      <c r="N10" s="49" t="s">
        <v>53</v>
      </c>
      <c r="O10" s="43"/>
      <c r="P10" s="51" t="s">
        <v>54</v>
      </c>
      <c r="Q10" s="41"/>
      <c r="R10" s="10">
        <v>0</v>
      </c>
      <c r="S10" s="11">
        <v>42543</v>
      </c>
      <c r="T10" s="9" t="s">
        <v>48</v>
      </c>
      <c r="U10" s="1"/>
      <c r="V10" s="48" t="s">
        <v>55</v>
      </c>
      <c r="W10" s="41"/>
      <c r="X10" s="49" t="s">
        <v>56</v>
      </c>
      <c r="Y10" s="43"/>
      <c r="Z10" s="51">
        <v>179800</v>
      </c>
      <c r="AA10" s="41"/>
      <c r="AB10" s="10">
        <v>0</v>
      </c>
      <c r="AC10" s="12">
        <v>38419</v>
      </c>
      <c r="AD10" s="9" t="s">
        <v>21</v>
      </c>
      <c r="AE10" s="1"/>
      <c r="AF10" s="47">
        <v>3507</v>
      </c>
      <c r="AG10" s="41"/>
      <c r="AH10" s="49" t="s">
        <v>22</v>
      </c>
      <c r="AI10" s="43"/>
      <c r="AJ10" s="60">
        <v>1060622</v>
      </c>
      <c r="AK10" s="41"/>
      <c r="AL10" s="13">
        <v>0</v>
      </c>
      <c r="AM10" s="18">
        <v>39492</v>
      </c>
      <c r="AN10" s="9" t="s">
        <v>57</v>
      </c>
      <c r="AO10" s="19"/>
      <c r="AP10" s="19"/>
    </row>
    <row r="11" spans="2:42" ht="25.5" x14ac:dyDescent="0.2">
      <c r="B11" s="40" t="s">
        <v>58</v>
      </c>
      <c r="C11" s="41"/>
      <c r="D11" s="49" t="s">
        <v>59</v>
      </c>
      <c r="E11" s="43"/>
      <c r="F11" s="64">
        <v>0</v>
      </c>
      <c r="G11" s="41"/>
      <c r="H11" s="10" t="s">
        <v>58</v>
      </c>
      <c r="I11" s="20" t="s">
        <v>58</v>
      </c>
      <c r="J11" s="9" t="s">
        <v>26</v>
      </c>
      <c r="K11" s="1"/>
      <c r="L11" s="40">
        <v>1131</v>
      </c>
      <c r="M11" s="41"/>
      <c r="N11" s="49" t="s">
        <v>60</v>
      </c>
      <c r="O11" s="43"/>
      <c r="P11" s="51">
        <v>6887500</v>
      </c>
      <c r="Q11" s="41"/>
      <c r="R11" s="10">
        <v>0</v>
      </c>
      <c r="S11" s="11">
        <v>38814</v>
      </c>
      <c r="T11" s="9" t="s">
        <v>21</v>
      </c>
      <c r="U11" s="1"/>
      <c r="V11" s="40">
        <v>6539</v>
      </c>
      <c r="W11" s="41"/>
      <c r="X11" s="49" t="s">
        <v>61</v>
      </c>
      <c r="Y11" s="43"/>
      <c r="Z11" s="51">
        <v>690000</v>
      </c>
      <c r="AA11" s="41"/>
      <c r="AB11" s="10">
        <v>281743</v>
      </c>
      <c r="AC11" s="12">
        <v>45160</v>
      </c>
      <c r="AD11" s="9" t="s">
        <v>21</v>
      </c>
      <c r="AE11" s="1"/>
      <c r="AF11" s="47">
        <v>5406</v>
      </c>
      <c r="AG11" s="41"/>
      <c r="AH11" s="49" t="s">
        <v>32</v>
      </c>
      <c r="AI11" s="43"/>
      <c r="AJ11" s="60">
        <v>975687</v>
      </c>
      <c r="AK11" s="41"/>
      <c r="AL11" s="13">
        <v>0</v>
      </c>
      <c r="AM11" s="14">
        <v>43084</v>
      </c>
      <c r="AN11" s="9" t="s">
        <v>62</v>
      </c>
      <c r="AO11" s="17"/>
      <c r="AP11" s="17"/>
    </row>
    <row r="12" spans="2:42" ht="27.75" customHeight="1" x14ac:dyDescent="0.2">
      <c r="B12" s="40">
        <v>1888</v>
      </c>
      <c r="C12" s="41"/>
      <c r="D12" s="49" t="s">
        <v>63</v>
      </c>
      <c r="E12" s="43"/>
      <c r="F12" s="51" t="s">
        <v>64</v>
      </c>
      <c r="G12" s="41"/>
      <c r="H12" s="7">
        <v>0</v>
      </c>
      <c r="I12" s="11">
        <v>38618</v>
      </c>
      <c r="J12" s="9" t="s">
        <v>26</v>
      </c>
      <c r="K12" s="1"/>
      <c r="L12" s="40">
        <v>4045</v>
      </c>
      <c r="M12" s="41"/>
      <c r="N12" s="49" t="s">
        <v>65</v>
      </c>
      <c r="O12" s="43"/>
      <c r="P12" s="51" t="s">
        <v>66</v>
      </c>
      <c r="Q12" s="41"/>
      <c r="R12" s="10">
        <v>0</v>
      </c>
      <c r="S12" s="11">
        <v>40773</v>
      </c>
      <c r="T12" s="9" t="s">
        <v>48</v>
      </c>
      <c r="U12" s="1"/>
      <c r="V12" s="48" t="s">
        <v>67</v>
      </c>
      <c r="W12" s="41"/>
      <c r="X12" s="49" t="s">
        <v>68</v>
      </c>
      <c r="Y12" s="43"/>
      <c r="Z12" s="51" t="s">
        <v>69</v>
      </c>
      <c r="AA12" s="41"/>
      <c r="AB12" s="10">
        <v>0</v>
      </c>
      <c r="AC12" s="12">
        <v>38859</v>
      </c>
      <c r="AD12" s="9" t="s">
        <v>21</v>
      </c>
      <c r="AE12" s="1"/>
      <c r="AF12" s="47">
        <v>5465</v>
      </c>
      <c r="AG12" s="41"/>
      <c r="AH12" s="49" t="s">
        <v>22</v>
      </c>
      <c r="AI12" s="43"/>
      <c r="AJ12" s="65">
        <v>1060622</v>
      </c>
      <c r="AK12" s="41"/>
      <c r="AL12" s="21">
        <v>0</v>
      </c>
      <c r="AM12" s="14">
        <v>43084</v>
      </c>
      <c r="AN12" s="15" t="s">
        <v>70</v>
      </c>
      <c r="AO12" s="16"/>
      <c r="AP12" s="16"/>
    </row>
    <row r="13" spans="2:42" ht="25.5" x14ac:dyDescent="0.2">
      <c r="B13" s="40">
        <v>1889</v>
      </c>
      <c r="C13" s="41"/>
      <c r="D13" s="49" t="s">
        <v>63</v>
      </c>
      <c r="E13" s="43"/>
      <c r="F13" s="51" t="s">
        <v>71</v>
      </c>
      <c r="G13" s="41"/>
      <c r="H13" s="7">
        <v>0</v>
      </c>
      <c r="I13" s="8">
        <v>36524</v>
      </c>
      <c r="J13" s="9" t="s">
        <v>26</v>
      </c>
      <c r="K13" s="1"/>
      <c r="L13" s="40">
        <v>2799</v>
      </c>
      <c r="M13" s="41"/>
      <c r="N13" s="49" t="s">
        <v>72</v>
      </c>
      <c r="O13" s="43"/>
      <c r="P13" s="51" t="s">
        <v>73</v>
      </c>
      <c r="Q13" s="41"/>
      <c r="R13" s="10">
        <v>0</v>
      </c>
      <c r="S13" s="11">
        <v>37987</v>
      </c>
      <c r="T13" s="9" t="s">
        <v>21</v>
      </c>
      <c r="U13" s="1"/>
      <c r="V13" s="40">
        <v>4937</v>
      </c>
      <c r="W13" s="41"/>
      <c r="X13" s="49" t="s">
        <v>74</v>
      </c>
      <c r="Y13" s="43"/>
      <c r="Z13" s="51" t="s">
        <v>75</v>
      </c>
      <c r="AA13" s="41"/>
      <c r="AB13" s="10">
        <v>0</v>
      </c>
      <c r="AC13" s="22">
        <v>41943</v>
      </c>
      <c r="AD13" s="9" t="s">
        <v>21</v>
      </c>
      <c r="AE13" s="1"/>
      <c r="AF13" s="47">
        <v>4424</v>
      </c>
      <c r="AG13" s="41"/>
      <c r="AH13" s="49" t="s">
        <v>76</v>
      </c>
      <c r="AI13" s="43"/>
      <c r="AJ13" s="60">
        <v>406000</v>
      </c>
      <c r="AK13" s="41"/>
      <c r="AL13" s="13">
        <v>0</v>
      </c>
      <c r="AM13" s="14">
        <v>41578</v>
      </c>
      <c r="AN13" s="9" t="s">
        <v>57</v>
      </c>
      <c r="AO13" s="17"/>
      <c r="AP13" s="17"/>
    </row>
    <row r="14" spans="2:42" ht="38.25" x14ac:dyDescent="0.2">
      <c r="B14" s="40">
        <v>3468</v>
      </c>
      <c r="C14" s="41"/>
      <c r="D14" s="49" t="s">
        <v>77</v>
      </c>
      <c r="E14" s="43"/>
      <c r="F14" s="51" t="s">
        <v>78</v>
      </c>
      <c r="G14" s="41"/>
      <c r="H14" s="7">
        <v>0</v>
      </c>
      <c r="I14" s="8">
        <v>39440</v>
      </c>
      <c r="J14" s="9" t="s">
        <v>57</v>
      </c>
      <c r="K14" s="1"/>
      <c r="L14" s="40">
        <v>6173</v>
      </c>
      <c r="M14" s="41"/>
      <c r="N14" s="49" t="s">
        <v>65</v>
      </c>
      <c r="O14" s="43"/>
      <c r="P14" s="51">
        <v>14600000</v>
      </c>
      <c r="Q14" s="41"/>
      <c r="R14" s="10">
        <v>3139016</v>
      </c>
      <c r="S14" s="11">
        <v>44375</v>
      </c>
      <c r="T14" s="9" t="s">
        <v>79</v>
      </c>
      <c r="U14" s="1"/>
      <c r="V14" s="40">
        <v>4983</v>
      </c>
      <c r="W14" s="41"/>
      <c r="X14" s="49" t="s">
        <v>80</v>
      </c>
      <c r="Y14" s="43"/>
      <c r="Z14" s="51">
        <v>336400</v>
      </c>
      <c r="AA14" s="41"/>
      <c r="AB14" s="10">
        <v>0</v>
      </c>
      <c r="AC14" s="12">
        <v>42048</v>
      </c>
      <c r="AD14" s="9" t="s">
        <v>21</v>
      </c>
      <c r="AE14" s="1"/>
      <c r="AF14" s="47">
        <v>4672</v>
      </c>
      <c r="AG14" s="41"/>
      <c r="AH14" s="49" t="s">
        <v>81</v>
      </c>
      <c r="AI14" s="43"/>
      <c r="AJ14" s="60">
        <v>274900</v>
      </c>
      <c r="AK14" s="41"/>
      <c r="AL14" s="13">
        <v>0</v>
      </c>
      <c r="AM14" s="18">
        <v>41758</v>
      </c>
      <c r="AN14" s="23"/>
      <c r="AO14" s="16"/>
      <c r="AP14" s="16"/>
    </row>
    <row r="15" spans="2:42" ht="51" x14ac:dyDescent="0.2">
      <c r="B15" s="40">
        <v>1423</v>
      </c>
      <c r="C15" s="41"/>
      <c r="D15" s="49" t="s">
        <v>63</v>
      </c>
      <c r="E15" s="43"/>
      <c r="F15" s="50">
        <v>539235</v>
      </c>
      <c r="G15" s="41"/>
      <c r="H15" s="24">
        <v>0</v>
      </c>
      <c r="I15" s="11">
        <v>39285</v>
      </c>
      <c r="J15" s="9" t="s">
        <v>26</v>
      </c>
      <c r="K15" s="1"/>
      <c r="L15" s="40">
        <v>1068</v>
      </c>
      <c r="M15" s="41"/>
      <c r="N15" s="49" t="s">
        <v>41</v>
      </c>
      <c r="O15" s="43"/>
      <c r="P15" s="51" t="s">
        <v>82</v>
      </c>
      <c r="Q15" s="41"/>
      <c r="R15" s="10">
        <v>0</v>
      </c>
      <c r="S15" s="11">
        <v>38376</v>
      </c>
      <c r="T15" s="9" t="s">
        <v>83</v>
      </c>
      <c r="U15" s="1"/>
      <c r="V15" s="40">
        <v>2207</v>
      </c>
      <c r="W15" s="41"/>
      <c r="X15" s="49" t="s">
        <v>84</v>
      </c>
      <c r="Y15" s="43"/>
      <c r="Z15" s="51">
        <v>168200</v>
      </c>
      <c r="AA15" s="41"/>
      <c r="AB15" s="10">
        <v>0</v>
      </c>
      <c r="AC15" s="12">
        <v>38467</v>
      </c>
      <c r="AD15" s="9" t="s">
        <v>21</v>
      </c>
      <c r="AE15" s="1"/>
      <c r="AF15" s="45" t="s">
        <v>85</v>
      </c>
      <c r="AG15" s="41"/>
      <c r="AH15" s="49" t="s">
        <v>86</v>
      </c>
      <c r="AI15" s="43"/>
      <c r="AJ15" s="60">
        <v>30978.53</v>
      </c>
      <c r="AK15" s="41"/>
      <c r="AL15" s="13">
        <v>0</v>
      </c>
      <c r="AM15" s="18">
        <v>38496</v>
      </c>
      <c r="AN15" s="15" t="s">
        <v>87</v>
      </c>
      <c r="AO15" s="16"/>
      <c r="AP15" s="16"/>
    </row>
    <row r="16" spans="2:42" ht="38.25" x14ac:dyDescent="0.2">
      <c r="B16" s="40">
        <v>6019</v>
      </c>
      <c r="C16" s="41"/>
      <c r="D16" s="49" t="s">
        <v>88</v>
      </c>
      <c r="E16" s="43"/>
      <c r="F16" s="50">
        <v>9450000</v>
      </c>
      <c r="G16" s="41"/>
      <c r="H16" s="24">
        <v>5239500</v>
      </c>
      <c r="I16" s="8">
        <v>44182</v>
      </c>
      <c r="J16" s="9" t="s">
        <v>26</v>
      </c>
      <c r="K16" s="1"/>
      <c r="L16" s="40">
        <v>1301</v>
      </c>
      <c r="M16" s="41"/>
      <c r="N16" s="49" t="s">
        <v>89</v>
      </c>
      <c r="O16" s="43"/>
      <c r="P16" s="51" t="s">
        <v>90</v>
      </c>
      <c r="Q16" s="41"/>
      <c r="R16" s="10">
        <v>0</v>
      </c>
      <c r="S16" s="8">
        <v>36524</v>
      </c>
      <c r="T16" s="9" t="s">
        <v>91</v>
      </c>
      <c r="U16" s="1"/>
      <c r="V16" s="40">
        <v>5306</v>
      </c>
      <c r="W16" s="41"/>
      <c r="X16" s="49" t="s">
        <v>92</v>
      </c>
      <c r="Y16" s="43"/>
      <c r="Z16" s="51" t="s">
        <v>93</v>
      </c>
      <c r="AA16" s="41"/>
      <c r="AB16" s="10">
        <v>76755</v>
      </c>
      <c r="AC16" s="12">
        <v>42941</v>
      </c>
      <c r="AD16" s="9" t="s">
        <v>21</v>
      </c>
      <c r="AE16" s="1"/>
      <c r="AF16" s="47">
        <v>4009</v>
      </c>
      <c r="AG16" s="41"/>
      <c r="AH16" s="49" t="s">
        <v>94</v>
      </c>
      <c r="AI16" s="43"/>
      <c r="AJ16" s="60">
        <v>11500000</v>
      </c>
      <c r="AK16" s="41"/>
      <c r="AL16" s="13">
        <v>0</v>
      </c>
      <c r="AM16" s="18">
        <v>40788</v>
      </c>
      <c r="AN16" s="15" t="s">
        <v>95</v>
      </c>
      <c r="AO16" s="16"/>
      <c r="AP16" s="16"/>
    </row>
    <row r="17" spans="2:42" ht="51" x14ac:dyDescent="0.2">
      <c r="B17" s="48" t="s">
        <v>96</v>
      </c>
      <c r="C17" s="41"/>
      <c r="D17" s="66" t="s">
        <v>24</v>
      </c>
      <c r="E17" s="43"/>
      <c r="F17" s="63">
        <v>2620000</v>
      </c>
      <c r="G17" s="41"/>
      <c r="H17" s="25">
        <v>0</v>
      </c>
      <c r="I17" s="11">
        <v>37384</v>
      </c>
      <c r="J17" s="9" t="s">
        <v>26</v>
      </c>
      <c r="K17" s="1"/>
      <c r="L17" s="40">
        <v>3591</v>
      </c>
      <c r="M17" s="41"/>
      <c r="N17" s="49" t="s">
        <v>97</v>
      </c>
      <c r="O17" s="43"/>
      <c r="P17" s="51" t="s">
        <v>98</v>
      </c>
      <c r="Q17" s="41"/>
      <c r="R17" s="10">
        <v>0</v>
      </c>
      <c r="S17" s="11">
        <v>39233</v>
      </c>
      <c r="T17" s="9" t="s">
        <v>99</v>
      </c>
      <c r="U17" s="1"/>
      <c r="V17" s="40">
        <v>4938</v>
      </c>
      <c r="W17" s="41"/>
      <c r="X17" s="49" t="s">
        <v>74</v>
      </c>
      <c r="Y17" s="43"/>
      <c r="Z17" s="51" t="s">
        <v>75</v>
      </c>
      <c r="AA17" s="41"/>
      <c r="AB17" s="10">
        <v>0</v>
      </c>
      <c r="AC17" s="22">
        <v>41943</v>
      </c>
      <c r="AD17" s="9" t="s">
        <v>21</v>
      </c>
      <c r="AE17" s="1"/>
      <c r="AF17" s="47">
        <v>5505</v>
      </c>
      <c r="AG17" s="41"/>
      <c r="AH17" s="49" t="s">
        <v>100</v>
      </c>
      <c r="AI17" s="43"/>
      <c r="AJ17" s="60">
        <v>737117</v>
      </c>
      <c r="AK17" s="41"/>
      <c r="AL17" s="13">
        <v>0</v>
      </c>
      <c r="AM17" s="14">
        <v>43084</v>
      </c>
      <c r="AN17" s="9" t="s">
        <v>101</v>
      </c>
      <c r="AO17" s="16"/>
      <c r="AP17" s="16"/>
    </row>
    <row r="18" spans="2:42" ht="51" x14ac:dyDescent="0.2">
      <c r="B18" s="40">
        <v>4960</v>
      </c>
      <c r="C18" s="41"/>
      <c r="D18" s="66" t="s">
        <v>102</v>
      </c>
      <c r="E18" s="43"/>
      <c r="F18" s="63">
        <v>300000</v>
      </c>
      <c r="G18" s="41"/>
      <c r="H18" s="25">
        <v>88513</v>
      </c>
      <c r="I18" s="11">
        <v>41948</v>
      </c>
      <c r="J18" s="9" t="s">
        <v>103</v>
      </c>
      <c r="K18" s="1"/>
      <c r="L18" s="48" t="s">
        <v>104</v>
      </c>
      <c r="M18" s="41"/>
      <c r="N18" s="49" t="s">
        <v>105</v>
      </c>
      <c r="O18" s="43"/>
      <c r="P18" s="51" t="s">
        <v>106</v>
      </c>
      <c r="Q18" s="41"/>
      <c r="R18" s="10">
        <v>0</v>
      </c>
      <c r="S18" s="8">
        <v>37608</v>
      </c>
      <c r="T18" s="9" t="s">
        <v>83</v>
      </c>
      <c r="U18" s="1"/>
      <c r="V18" s="40">
        <v>2640</v>
      </c>
      <c r="W18" s="41"/>
      <c r="X18" s="49" t="s">
        <v>107</v>
      </c>
      <c r="Y18" s="43"/>
      <c r="Z18" s="51" t="s">
        <v>108</v>
      </c>
      <c r="AA18" s="41"/>
      <c r="AB18" s="10">
        <v>0</v>
      </c>
      <c r="AC18" s="12">
        <v>39210</v>
      </c>
      <c r="AD18" s="9" t="s">
        <v>21</v>
      </c>
      <c r="AE18" s="1"/>
      <c r="AF18" s="47">
        <v>3696</v>
      </c>
      <c r="AG18" s="41"/>
      <c r="AH18" s="49" t="s">
        <v>100</v>
      </c>
      <c r="AI18" s="43"/>
      <c r="AJ18" s="60">
        <v>1990000</v>
      </c>
      <c r="AK18" s="41"/>
      <c r="AL18" s="13">
        <v>0</v>
      </c>
      <c r="AM18" s="18">
        <v>39861</v>
      </c>
      <c r="AN18" s="9" t="s">
        <v>109</v>
      </c>
      <c r="AO18" s="17"/>
      <c r="AP18" s="17"/>
    </row>
    <row r="19" spans="2:42" ht="50.25" customHeight="1" x14ac:dyDescent="0.2">
      <c r="B19" s="40">
        <v>3660</v>
      </c>
      <c r="C19" s="41"/>
      <c r="D19" s="66" t="s">
        <v>110</v>
      </c>
      <c r="E19" s="43"/>
      <c r="F19" s="63">
        <v>68440</v>
      </c>
      <c r="G19" s="41"/>
      <c r="H19" s="25">
        <v>0</v>
      </c>
      <c r="I19" s="8">
        <v>39436</v>
      </c>
      <c r="J19" s="9" t="s">
        <v>103</v>
      </c>
      <c r="K19" s="1"/>
      <c r="L19" s="40">
        <v>6341</v>
      </c>
      <c r="M19" s="41"/>
      <c r="N19" s="49" t="s">
        <v>65</v>
      </c>
      <c r="O19" s="43"/>
      <c r="P19" s="51" t="s">
        <v>111</v>
      </c>
      <c r="Q19" s="41"/>
      <c r="R19" s="10">
        <v>2391667</v>
      </c>
      <c r="S19" s="11">
        <v>44692</v>
      </c>
      <c r="T19" s="9" t="s">
        <v>112</v>
      </c>
      <c r="U19" s="1"/>
      <c r="V19" s="40">
        <v>4519</v>
      </c>
      <c r="W19" s="41"/>
      <c r="X19" s="49" t="s">
        <v>113</v>
      </c>
      <c r="Y19" s="43"/>
      <c r="Z19" s="51">
        <v>359600</v>
      </c>
      <c r="AA19" s="41"/>
      <c r="AB19" s="10">
        <v>0</v>
      </c>
      <c r="AC19" s="12">
        <v>41701</v>
      </c>
      <c r="AD19" s="9" t="s">
        <v>21</v>
      </c>
      <c r="AE19" s="1"/>
      <c r="AF19" s="47">
        <v>4142</v>
      </c>
      <c r="AG19" s="41"/>
      <c r="AH19" s="49" t="s">
        <v>114</v>
      </c>
      <c r="AI19" s="43"/>
      <c r="AJ19" s="60">
        <v>1800000</v>
      </c>
      <c r="AK19" s="41"/>
      <c r="AL19" s="13">
        <v>0</v>
      </c>
      <c r="AM19" s="14">
        <v>41262</v>
      </c>
      <c r="AN19" s="9" t="s">
        <v>115</v>
      </c>
      <c r="AO19" s="19"/>
      <c r="AP19" s="19"/>
    </row>
    <row r="20" spans="2:42" ht="54" customHeight="1" x14ac:dyDescent="0.2">
      <c r="B20" s="40">
        <v>1961</v>
      </c>
      <c r="C20" s="41"/>
      <c r="D20" s="62" t="s">
        <v>63</v>
      </c>
      <c r="E20" s="43"/>
      <c r="F20" s="63">
        <v>930000</v>
      </c>
      <c r="G20" s="41"/>
      <c r="H20" s="25">
        <v>0</v>
      </c>
      <c r="I20" s="11">
        <v>37459</v>
      </c>
      <c r="J20" s="9" t="s">
        <v>26</v>
      </c>
      <c r="K20" s="1"/>
      <c r="L20" s="40">
        <v>6164</v>
      </c>
      <c r="M20" s="41"/>
      <c r="N20" s="49" t="s">
        <v>65</v>
      </c>
      <c r="O20" s="43"/>
      <c r="P20" s="51" t="s">
        <v>111</v>
      </c>
      <c r="Q20" s="41"/>
      <c r="R20" s="10">
        <v>1236833</v>
      </c>
      <c r="S20" s="11">
        <v>44350</v>
      </c>
      <c r="T20" s="9" t="s">
        <v>116</v>
      </c>
      <c r="U20" s="1"/>
      <c r="V20" s="40">
        <v>2831</v>
      </c>
      <c r="W20" s="41"/>
      <c r="X20" s="49" t="s">
        <v>117</v>
      </c>
      <c r="Y20" s="43"/>
      <c r="Z20" s="51" t="s">
        <v>118</v>
      </c>
      <c r="AA20" s="41"/>
      <c r="AB20" s="10">
        <v>0</v>
      </c>
      <c r="AC20" s="12">
        <v>37501</v>
      </c>
      <c r="AD20" s="9" t="s">
        <v>21</v>
      </c>
      <c r="AE20" s="1"/>
      <c r="AF20" s="47">
        <v>5506</v>
      </c>
      <c r="AG20" s="41"/>
      <c r="AH20" s="49" t="s">
        <v>100</v>
      </c>
      <c r="AI20" s="43"/>
      <c r="AJ20" s="60">
        <v>737717</v>
      </c>
      <c r="AK20" s="41"/>
      <c r="AL20" s="13">
        <v>0</v>
      </c>
      <c r="AM20" s="14">
        <v>43084</v>
      </c>
      <c r="AN20" s="15" t="s">
        <v>119</v>
      </c>
      <c r="AO20" s="16"/>
      <c r="AP20" s="16"/>
    </row>
    <row r="21" spans="2:42" ht="33" customHeight="1" x14ac:dyDescent="0.2">
      <c r="B21" s="40">
        <v>3845</v>
      </c>
      <c r="C21" s="41"/>
      <c r="D21" s="62" t="s">
        <v>24</v>
      </c>
      <c r="E21" s="43"/>
      <c r="F21" s="63">
        <v>1582000</v>
      </c>
      <c r="G21" s="41"/>
      <c r="H21" s="25">
        <v>0</v>
      </c>
      <c r="I21" s="26" t="s">
        <v>120</v>
      </c>
      <c r="J21" s="9" t="s">
        <v>121</v>
      </c>
      <c r="K21" s="1"/>
      <c r="L21" s="40">
        <v>6165</v>
      </c>
      <c r="M21" s="41"/>
      <c r="N21" s="49" t="s">
        <v>65</v>
      </c>
      <c r="O21" s="43"/>
      <c r="P21" s="51" t="s">
        <v>111</v>
      </c>
      <c r="Q21" s="41"/>
      <c r="R21" s="10">
        <v>1236833</v>
      </c>
      <c r="S21" s="11">
        <v>44350</v>
      </c>
      <c r="T21" s="9" t="s">
        <v>122</v>
      </c>
      <c r="U21" s="1"/>
      <c r="V21" s="40">
        <v>4596</v>
      </c>
      <c r="W21" s="41"/>
      <c r="X21" s="49" t="s">
        <v>123</v>
      </c>
      <c r="Y21" s="43"/>
      <c r="Z21" s="51">
        <v>299280</v>
      </c>
      <c r="AA21" s="41"/>
      <c r="AB21" s="10">
        <v>0</v>
      </c>
      <c r="AC21" s="12">
        <v>41703</v>
      </c>
      <c r="AD21" s="9" t="s">
        <v>21</v>
      </c>
      <c r="AE21" s="1"/>
      <c r="AF21" s="47">
        <v>5491</v>
      </c>
      <c r="AG21" s="41"/>
      <c r="AH21" s="49" t="s">
        <v>114</v>
      </c>
      <c r="AI21" s="43"/>
      <c r="AJ21" s="60">
        <v>1103904</v>
      </c>
      <c r="AK21" s="41"/>
      <c r="AL21" s="13">
        <v>0</v>
      </c>
      <c r="AM21" s="14">
        <v>43084</v>
      </c>
      <c r="AN21" s="15" t="s">
        <v>124</v>
      </c>
      <c r="AO21" s="19"/>
      <c r="AP21" s="19"/>
    </row>
    <row r="22" spans="2:42" ht="25.5" x14ac:dyDescent="0.2">
      <c r="B22" s="40">
        <v>5171</v>
      </c>
      <c r="C22" s="41"/>
      <c r="D22" s="62" t="s">
        <v>24</v>
      </c>
      <c r="E22" s="43"/>
      <c r="F22" s="63">
        <v>2606000</v>
      </c>
      <c r="G22" s="41"/>
      <c r="H22" s="25">
        <v>0</v>
      </c>
      <c r="I22" s="8">
        <v>42348</v>
      </c>
      <c r="J22" s="9" t="s">
        <v>121</v>
      </c>
      <c r="K22" s="1"/>
      <c r="L22" s="40">
        <v>6107</v>
      </c>
      <c r="M22" s="41"/>
      <c r="N22" s="49" t="s">
        <v>65</v>
      </c>
      <c r="O22" s="43"/>
      <c r="P22" s="51" t="s">
        <v>125</v>
      </c>
      <c r="Q22" s="41"/>
      <c r="R22" s="10">
        <v>2076461</v>
      </c>
      <c r="S22" s="11">
        <v>44244</v>
      </c>
      <c r="T22" s="9" t="s">
        <v>126</v>
      </c>
      <c r="U22" s="1"/>
      <c r="V22" s="40">
        <v>5957</v>
      </c>
      <c r="W22" s="41"/>
      <c r="X22" s="49" t="s">
        <v>127</v>
      </c>
      <c r="Y22" s="43"/>
      <c r="Z22" s="51" t="s">
        <v>128</v>
      </c>
      <c r="AA22" s="41"/>
      <c r="AB22" s="10">
        <v>0</v>
      </c>
      <c r="AC22" s="12">
        <v>44091</v>
      </c>
      <c r="AD22" s="9" t="s">
        <v>21</v>
      </c>
      <c r="AE22" s="1"/>
      <c r="AF22" s="47">
        <v>5492</v>
      </c>
      <c r="AG22" s="41"/>
      <c r="AH22" s="49" t="s">
        <v>114</v>
      </c>
      <c r="AI22" s="43"/>
      <c r="AJ22" s="60">
        <v>1103094</v>
      </c>
      <c r="AK22" s="41"/>
      <c r="AL22" s="13">
        <v>0</v>
      </c>
      <c r="AM22" s="14">
        <v>43084</v>
      </c>
      <c r="AN22" s="15" t="s">
        <v>129</v>
      </c>
      <c r="AO22" s="16"/>
      <c r="AP22" s="16"/>
    </row>
    <row r="23" spans="2:42" ht="25.5" x14ac:dyDescent="0.2">
      <c r="B23" s="53"/>
      <c r="C23" s="54"/>
      <c r="D23" s="54"/>
      <c r="E23" s="54"/>
      <c r="F23" s="54"/>
      <c r="G23" s="54"/>
      <c r="H23" s="54"/>
      <c r="I23" s="54"/>
      <c r="J23" s="55"/>
      <c r="K23" s="1"/>
      <c r="L23" s="40">
        <v>4801</v>
      </c>
      <c r="M23" s="41"/>
      <c r="N23" s="49" t="s">
        <v>65</v>
      </c>
      <c r="O23" s="43"/>
      <c r="P23" s="51" t="s">
        <v>130</v>
      </c>
      <c r="Q23" s="41"/>
      <c r="R23" s="10">
        <v>0</v>
      </c>
      <c r="S23" s="11">
        <v>41905</v>
      </c>
      <c r="T23" s="9" t="s">
        <v>126</v>
      </c>
      <c r="U23" s="1"/>
      <c r="V23" s="40">
        <v>5757</v>
      </c>
      <c r="W23" s="41"/>
      <c r="X23" s="49" t="s">
        <v>127</v>
      </c>
      <c r="Y23" s="43"/>
      <c r="Z23" s="51" t="s">
        <v>131</v>
      </c>
      <c r="AA23" s="41"/>
      <c r="AB23" s="10">
        <v>0</v>
      </c>
      <c r="AC23" s="12">
        <v>43552</v>
      </c>
      <c r="AD23" s="9" t="s">
        <v>21</v>
      </c>
      <c r="AE23" s="1"/>
      <c r="AF23" s="47">
        <v>4966</v>
      </c>
      <c r="AG23" s="41"/>
      <c r="AH23" s="49" t="s">
        <v>114</v>
      </c>
      <c r="AI23" s="43"/>
      <c r="AJ23" s="60">
        <v>1680000</v>
      </c>
      <c r="AK23" s="41"/>
      <c r="AL23" s="13">
        <v>0</v>
      </c>
      <c r="AM23" s="14">
        <v>41964</v>
      </c>
      <c r="AN23" s="15" t="s">
        <v>132</v>
      </c>
      <c r="AO23" s="16"/>
      <c r="AP23" s="16"/>
    </row>
    <row r="24" spans="2:42" ht="38.25" x14ac:dyDescent="0.2">
      <c r="B24" s="56" t="s">
        <v>133</v>
      </c>
      <c r="C24" s="57"/>
      <c r="D24" s="57"/>
      <c r="E24" s="57"/>
      <c r="F24" s="57"/>
      <c r="G24" s="41"/>
      <c r="H24" s="58">
        <f>SUM(H5:H22)</f>
        <v>5328013</v>
      </c>
      <c r="I24" s="57"/>
      <c r="J24" s="41"/>
      <c r="K24" s="1"/>
      <c r="L24" s="40">
        <v>4957</v>
      </c>
      <c r="M24" s="41"/>
      <c r="N24" s="49" t="s">
        <v>65</v>
      </c>
      <c r="O24" s="43"/>
      <c r="P24" s="51" t="s">
        <v>134</v>
      </c>
      <c r="Q24" s="41"/>
      <c r="R24" s="10">
        <v>0</v>
      </c>
      <c r="S24" s="11">
        <v>41947</v>
      </c>
      <c r="T24" s="9" t="s">
        <v>126</v>
      </c>
      <c r="U24" s="1"/>
      <c r="V24" s="61">
        <v>5956</v>
      </c>
      <c r="W24" s="41"/>
      <c r="X24" s="42" t="s">
        <v>127</v>
      </c>
      <c r="Y24" s="43"/>
      <c r="Z24" s="44">
        <v>285000</v>
      </c>
      <c r="AA24" s="41"/>
      <c r="AB24" s="27">
        <v>0</v>
      </c>
      <c r="AC24" s="12">
        <v>44091</v>
      </c>
      <c r="AD24" s="9" t="s">
        <v>21</v>
      </c>
      <c r="AE24" s="1"/>
      <c r="AF24" s="47">
        <v>4344</v>
      </c>
      <c r="AG24" s="41"/>
      <c r="AH24" s="49" t="s">
        <v>135</v>
      </c>
      <c r="AI24" s="43"/>
      <c r="AJ24" s="60">
        <v>1292284</v>
      </c>
      <c r="AK24" s="41"/>
      <c r="AL24" s="28">
        <v>0</v>
      </c>
      <c r="AM24" s="18">
        <v>41526</v>
      </c>
      <c r="AN24" s="9" t="s">
        <v>136</v>
      </c>
      <c r="AO24" s="16"/>
      <c r="AP24" s="16"/>
    </row>
    <row r="25" spans="2:42" ht="25.5" x14ac:dyDescent="0.2">
      <c r="B25" s="1"/>
      <c r="C25" s="1"/>
      <c r="D25" s="1"/>
      <c r="E25" s="1"/>
      <c r="F25" s="1"/>
      <c r="G25" s="1"/>
      <c r="H25" s="1"/>
      <c r="I25" s="1"/>
      <c r="J25" s="1"/>
      <c r="K25" s="29"/>
      <c r="L25" s="40">
        <v>2168</v>
      </c>
      <c r="M25" s="41"/>
      <c r="N25" s="49" t="s">
        <v>137</v>
      </c>
      <c r="O25" s="43"/>
      <c r="P25" s="51" t="s">
        <v>138</v>
      </c>
      <c r="Q25" s="41"/>
      <c r="R25" s="10">
        <v>0</v>
      </c>
      <c r="S25" s="8">
        <v>37613</v>
      </c>
      <c r="T25" s="9" t="s">
        <v>126</v>
      </c>
      <c r="U25" s="1"/>
      <c r="V25" s="40">
        <v>5689</v>
      </c>
      <c r="W25" s="41"/>
      <c r="X25" s="49" t="s">
        <v>139</v>
      </c>
      <c r="Y25" s="43"/>
      <c r="Z25" s="51" t="s">
        <v>140</v>
      </c>
      <c r="AA25" s="41"/>
      <c r="AB25" s="10">
        <v>0</v>
      </c>
      <c r="AC25" s="12">
        <v>43381</v>
      </c>
      <c r="AD25" s="9" t="s">
        <v>21</v>
      </c>
      <c r="AE25" s="1"/>
      <c r="AF25" s="47">
        <v>4856</v>
      </c>
      <c r="AG25" s="41"/>
      <c r="AH25" s="49" t="s">
        <v>135</v>
      </c>
      <c r="AI25" s="43"/>
      <c r="AJ25" s="60">
        <v>380954</v>
      </c>
      <c r="AK25" s="41"/>
      <c r="AL25" s="28">
        <v>0</v>
      </c>
      <c r="AM25" s="14">
        <v>41935</v>
      </c>
      <c r="AN25" s="15" t="s">
        <v>141</v>
      </c>
      <c r="AO25" s="16"/>
      <c r="AP25" s="16"/>
    </row>
    <row r="26" spans="2:42" ht="25.5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40">
        <v>4630</v>
      </c>
      <c r="M26" s="41"/>
      <c r="N26" s="49" t="s">
        <v>142</v>
      </c>
      <c r="O26" s="43"/>
      <c r="P26" s="51" t="s">
        <v>143</v>
      </c>
      <c r="Q26" s="41"/>
      <c r="R26" s="10">
        <v>0</v>
      </c>
      <c r="S26" s="11">
        <v>41712</v>
      </c>
      <c r="T26" s="9" t="s">
        <v>126</v>
      </c>
      <c r="U26" s="1"/>
      <c r="V26" s="40">
        <v>1924</v>
      </c>
      <c r="W26" s="41"/>
      <c r="X26" s="49" t="s">
        <v>144</v>
      </c>
      <c r="Y26" s="43"/>
      <c r="Z26" s="51">
        <v>99180</v>
      </c>
      <c r="AA26" s="41"/>
      <c r="AB26" s="10">
        <v>0</v>
      </c>
      <c r="AC26" s="22">
        <v>38314</v>
      </c>
      <c r="AD26" s="9" t="s">
        <v>21</v>
      </c>
      <c r="AE26" s="1"/>
      <c r="AF26" s="45" t="s">
        <v>145</v>
      </c>
      <c r="AG26" s="41"/>
      <c r="AH26" s="49" t="s">
        <v>146</v>
      </c>
      <c r="AI26" s="43"/>
      <c r="AJ26" s="60">
        <v>8364000</v>
      </c>
      <c r="AK26" s="41"/>
      <c r="AL26" s="28">
        <v>464000</v>
      </c>
      <c r="AM26" s="14">
        <v>37986</v>
      </c>
      <c r="AN26" s="15" t="s">
        <v>101</v>
      </c>
      <c r="AO26" s="19"/>
      <c r="AP26" s="19"/>
    </row>
    <row r="27" spans="2:42" ht="25.5" x14ac:dyDescent="0.2">
      <c r="B27" s="1"/>
      <c r="C27" s="1"/>
      <c r="D27" s="1"/>
      <c r="E27" s="1"/>
      <c r="F27" s="31"/>
      <c r="G27" s="1"/>
      <c r="H27" s="1"/>
      <c r="I27" s="1"/>
      <c r="J27" s="1"/>
      <c r="K27" s="1"/>
      <c r="L27" s="40">
        <v>1864</v>
      </c>
      <c r="M27" s="41"/>
      <c r="N27" s="49" t="s">
        <v>147</v>
      </c>
      <c r="O27" s="43"/>
      <c r="P27" s="51" t="s">
        <v>148</v>
      </c>
      <c r="Q27" s="41"/>
      <c r="R27" s="10">
        <v>0</v>
      </c>
      <c r="S27" s="11">
        <v>36988</v>
      </c>
      <c r="T27" s="9" t="s">
        <v>149</v>
      </c>
      <c r="U27" s="1"/>
      <c r="V27" s="40">
        <v>2989</v>
      </c>
      <c r="W27" s="41"/>
      <c r="X27" s="49" t="s">
        <v>150</v>
      </c>
      <c r="Y27" s="43"/>
      <c r="Z27" s="51" t="s">
        <v>151</v>
      </c>
      <c r="AA27" s="41"/>
      <c r="AB27" s="10">
        <v>0</v>
      </c>
      <c r="AC27" s="12">
        <v>37403</v>
      </c>
      <c r="AD27" s="9" t="s">
        <v>21</v>
      </c>
      <c r="AE27" s="1"/>
      <c r="AF27" s="56" t="s">
        <v>152</v>
      </c>
      <c r="AG27" s="57"/>
      <c r="AH27" s="57"/>
      <c r="AI27" s="57"/>
      <c r="AJ27" s="57"/>
      <c r="AK27" s="41"/>
      <c r="AL27" s="58">
        <f>SUM(AL5:AL26)</f>
        <v>464000</v>
      </c>
      <c r="AM27" s="57"/>
      <c r="AN27" s="41"/>
      <c r="AO27" s="16"/>
      <c r="AP27" s="16"/>
    </row>
    <row r="28" spans="2:42" ht="25.5" x14ac:dyDescent="0.2">
      <c r="B28" s="1"/>
      <c r="C28" s="1"/>
      <c r="D28" s="1"/>
      <c r="E28" s="1"/>
      <c r="F28" s="31"/>
      <c r="G28" s="1"/>
      <c r="H28" s="1"/>
      <c r="I28" s="1"/>
      <c r="J28" s="1"/>
      <c r="K28" s="1"/>
      <c r="L28" s="40">
        <v>3691</v>
      </c>
      <c r="M28" s="41"/>
      <c r="N28" s="49" t="s">
        <v>153</v>
      </c>
      <c r="O28" s="43"/>
      <c r="P28" s="51" t="s">
        <v>154</v>
      </c>
      <c r="Q28" s="41"/>
      <c r="R28" s="10">
        <v>0</v>
      </c>
      <c r="S28" s="11">
        <v>38057</v>
      </c>
      <c r="T28" s="9" t="s">
        <v>155</v>
      </c>
      <c r="U28" s="1"/>
      <c r="V28" s="40">
        <v>2255</v>
      </c>
      <c r="W28" s="41"/>
      <c r="X28" s="49" t="s">
        <v>139</v>
      </c>
      <c r="Y28" s="43"/>
      <c r="Z28" s="51" t="s">
        <v>156</v>
      </c>
      <c r="AA28" s="41"/>
      <c r="AB28" s="10">
        <v>0</v>
      </c>
      <c r="AC28" s="12">
        <v>38835</v>
      </c>
      <c r="AD28" s="9" t="s">
        <v>21</v>
      </c>
      <c r="AE28" s="1"/>
      <c r="AF28" s="1"/>
      <c r="AG28" s="1"/>
      <c r="AH28" s="1"/>
      <c r="AI28" s="1"/>
      <c r="AJ28" s="1"/>
      <c r="AK28" s="1"/>
      <c r="AL28" s="17"/>
      <c r="AM28" s="16"/>
      <c r="AN28" s="16"/>
      <c r="AO28" s="16"/>
      <c r="AP28" s="16"/>
    </row>
    <row r="29" spans="2:42" ht="54" customHeight="1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40">
        <v>6179</v>
      </c>
      <c r="M29" s="41"/>
      <c r="N29" s="49" t="s">
        <v>65</v>
      </c>
      <c r="O29" s="43"/>
      <c r="P29" s="51" t="s">
        <v>164</v>
      </c>
      <c r="Q29" s="41"/>
      <c r="R29" s="10">
        <v>1085734</v>
      </c>
      <c r="S29" s="11">
        <v>44375</v>
      </c>
      <c r="T29" s="9" t="s">
        <v>165</v>
      </c>
      <c r="U29" s="1"/>
      <c r="V29" s="48" t="s">
        <v>157</v>
      </c>
      <c r="W29" s="41"/>
      <c r="X29" s="49" t="s">
        <v>158</v>
      </c>
      <c r="Y29" s="43"/>
      <c r="Z29" s="51" t="s">
        <v>159</v>
      </c>
      <c r="AA29" s="41"/>
      <c r="AB29" s="10">
        <v>0</v>
      </c>
      <c r="AC29" s="12">
        <v>38511</v>
      </c>
      <c r="AD29" s="9" t="s">
        <v>21</v>
      </c>
      <c r="AE29" s="1"/>
      <c r="AF29" s="1"/>
      <c r="AG29" s="1"/>
      <c r="AH29" s="1"/>
      <c r="AI29" s="1"/>
      <c r="AJ29" s="31">
        <f>SUM(AJ5:AK26)</f>
        <v>39546184.530000001</v>
      </c>
      <c r="AK29" s="1"/>
      <c r="AL29" s="17"/>
      <c r="AM29" s="16"/>
      <c r="AN29" s="16"/>
      <c r="AO29" s="16"/>
      <c r="AP29" s="16"/>
    </row>
    <row r="30" spans="2:42" ht="51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40">
        <v>4281</v>
      </c>
      <c r="M30" s="41"/>
      <c r="N30" s="49" t="s">
        <v>169</v>
      </c>
      <c r="O30" s="43"/>
      <c r="P30" s="51" t="s">
        <v>170</v>
      </c>
      <c r="Q30" s="41"/>
      <c r="R30" s="10">
        <v>0</v>
      </c>
      <c r="S30" s="11">
        <v>41368</v>
      </c>
      <c r="T30" s="9" t="s">
        <v>171</v>
      </c>
      <c r="U30" s="1"/>
      <c r="V30" s="45" t="s">
        <v>160</v>
      </c>
      <c r="W30" s="41"/>
      <c r="X30" s="49" t="s">
        <v>161</v>
      </c>
      <c r="Y30" s="43"/>
      <c r="Z30" s="51" t="s">
        <v>162</v>
      </c>
      <c r="AA30" s="41"/>
      <c r="AB30" s="10">
        <v>0</v>
      </c>
      <c r="AC30" s="12">
        <v>36217</v>
      </c>
      <c r="AD30" s="9" t="s">
        <v>163</v>
      </c>
      <c r="AE30" s="1"/>
      <c r="AF30" s="1"/>
      <c r="AG30" s="1"/>
      <c r="AH30" s="1"/>
      <c r="AI30" s="1"/>
      <c r="AJ30" s="1"/>
      <c r="AK30" s="1"/>
      <c r="AL30" s="17"/>
      <c r="AM30" s="16"/>
      <c r="AN30" s="16"/>
      <c r="AO30" s="16"/>
      <c r="AP30" s="16"/>
    </row>
    <row r="31" spans="2:42" ht="51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40">
        <v>4800</v>
      </c>
      <c r="M31" s="41"/>
      <c r="N31" s="49" t="s">
        <v>65</v>
      </c>
      <c r="O31" s="43"/>
      <c r="P31" s="51" t="s">
        <v>130</v>
      </c>
      <c r="Q31" s="41"/>
      <c r="R31" s="10">
        <v>0</v>
      </c>
      <c r="S31" s="11">
        <v>41911</v>
      </c>
      <c r="T31" s="9" t="s">
        <v>174</v>
      </c>
      <c r="U31" s="1"/>
      <c r="V31" s="45" t="s">
        <v>166</v>
      </c>
      <c r="W31" s="41"/>
      <c r="X31" s="49" t="s">
        <v>167</v>
      </c>
      <c r="Y31" s="43"/>
      <c r="Z31" s="51" t="s">
        <v>168</v>
      </c>
      <c r="AA31" s="41"/>
      <c r="AB31" s="10">
        <v>0</v>
      </c>
      <c r="AC31" s="22">
        <v>37986</v>
      </c>
      <c r="AD31" s="9" t="s">
        <v>21</v>
      </c>
      <c r="AE31" s="1"/>
      <c r="AF31" s="1"/>
      <c r="AG31" s="1"/>
      <c r="AH31" s="1"/>
      <c r="AI31" s="1"/>
      <c r="AJ31" s="1"/>
      <c r="AK31" s="1"/>
      <c r="AL31" s="17"/>
      <c r="AM31" s="16"/>
      <c r="AN31" s="16"/>
      <c r="AO31" s="16"/>
      <c r="AP31" s="16"/>
    </row>
    <row r="32" spans="2:42" ht="51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40">
        <v>5609</v>
      </c>
      <c r="M32" s="41"/>
      <c r="N32" s="67" t="s">
        <v>177</v>
      </c>
      <c r="O32" s="68"/>
      <c r="P32" s="69" t="s">
        <v>178</v>
      </c>
      <c r="Q32" s="55"/>
      <c r="R32" s="25">
        <v>102559</v>
      </c>
      <c r="S32" s="11">
        <v>43347</v>
      </c>
      <c r="T32" s="9" t="s">
        <v>179</v>
      </c>
      <c r="U32" s="1"/>
      <c r="V32" s="47">
        <v>1923</v>
      </c>
      <c r="W32" s="41"/>
      <c r="X32" s="49" t="s">
        <v>172</v>
      </c>
      <c r="Y32" s="43"/>
      <c r="Z32" s="51" t="s">
        <v>173</v>
      </c>
      <c r="AA32" s="41"/>
      <c r="AB32" s="10">
        <v>0</v>
      </c>
      <c r="AC32" s="12">
        <v>38099</v>
      </c>
      <c r="AD32" s="9" t="s">
        <v>163</v>
      </c>
      <c r="AE32" s="1"/>
      <c r="AF32" s="1"/>
      <c r="AG32" s="1"/>
      <c r="AH32" s="1"/>
      <c r="AI32" s="1"/>
      <c r="AJ32" s="1"/>
      <c r="AK32" s="1"/>
      <c r="AL32" s="17"/>
      <c r="AM32" s="16"/>
      <c r="AN32" s="16"/>
      <c r="AO32" s="16"/>
      <c r="AP32" s="16"/>
    </row>
    <row r="33" spans="2:42" ht="38.25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40">
        <v>5562</v>
      </c>
      <c r="M33" s="41"/>
      <c r="N33" s="49" t="s">
        <v>182</v>
      </c>
      <c r="O33" s="43"/>
      <c r="P33" s="51">
        <v>475643</v>
      </c>
      <c r="Q33" s="41"/>
      <c r="R33" s="25">
        <v>65865</v>
      </c>
      <c r="S33" s="11">
        <v>43291</v>
      </c>
      <c r="T33" s="9" t="s">
        <v>183</v>
      </c>
      <c r="U33" s="1"/>
      <c r="V33" s="40">
        <v>2351</v>
      </c>
      <c r="W33" s="41"/>
      <c r="X33" s="49" t="s">
        <v>175</v>
      </c>
      <c r="Y33" s="43"/>
      <c r="Z33" s="51" t="s">
        <v>176</v>
      </c>
      <c r="AA33" s="41"/>
      <c r="AB33" s="10">
        <v>0</v>
      </c>
      <c r="AC33" s="12">
        <v>38632</v>
      </c>
      <c r="AD33" s="9" t="s">
        <v>21</v>
      </c>
      <c r="AE33" s="1"/>
      <c r="AF33" s="1"/>
      <c r="AG33" s="1"/>
      <c r="AH33" s="1"/>
      <c r="AI33" s="1"/>
      <c r="AJ33" s="1"/>
      <c r="AK33" s="1"/>
      <c r="AL33" s="17"/>
      <c r="AM33" s="30"/>
      <c r="AN33" s="30"/>
      <c r="AO33" s="16"/>
      <c r="AP33" s="16"/>
    </row>
    <row r="34" spans="2:42" ht="38.25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40">
        <v>4383</v>
      </c>
      <c r="M34" s="41"/>
      <c r="N34" s="49" t="s">
        <v>187</v>
      </c>
      <c r="O34" s="43"/>
      <c r="P34" s="51">
        <v>577680</v>
      </c>
      <c r="Q34" s="41"/>
      <c r="R34" s="10">
        <v>0</v>
      </c>
      <c r="S34" s="8">
        <v>41557</v>
      </c>
      <c r="T34" s="9" t="s">
        <v>188</v>
      </c>
      <c r="U34" s="1"/>
      <c r="V34" s="40">
        <v>3643</v>
      </c>
      <c r="W34" s="41"/>
      <c r="X34" s="49" t="s">
        <v>180</v>
      </c>
      <c r="Y34" s="43"/>
      <c r="Z34" s="51" t="s">
        <v>176</v>
      </c>
      <c r="AA34" s="41"/>
      <c r="AB34" s="10">
        <v>0</v>
      </c>
      <c r="AC34" s="22">
        <v>39799</v>
      </c>
      <c r="AD34" s="9" t="s">
        <v>181</v>
      </c>
      <c r="AE34" s="1"/>
      <c r="AF34" s="1"/>
      <c r="AG34" s="1"/>
      <c r="AH34" s="1"/>
      <c r="AI34" s="1"/>
      <c r="AJ34" s="1"/>
      <c r="AK34" s="1"/>
      <c r="AL34" s="17"/>
      <c r="AM34" s="30"/>
      <c r="AN34" s="30"/>
      <c r="AO34" s="16"/>
      <c r="AP34" s="16"/>
    </row>
    <row r="35" spans="2:42" ht="38.25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40">
        <v>4910</v>
      </c>
      <c r="M35" s="41"/>
      <c r="N35" s="49" t="s">
        <v>187</v>
      </c>
      <c r="O35" s="43"/>
      <c r="P35" s="51">
        <v>461680</v>
      </c>
      <c r="Q35" s="41"/>
      <c r="R35" s="10">
        <v>0</v>
      </c>
      <c r="S35" s="8">
        <v>41943</v>
      </c>
      <c r="T35" s="9" t="s">
        <v>188</v>
      </c>
      <c r="U35" s="1"/>
      <c r="V35" s="40">
        <v>3645</v>
      </c>
      <c r="W35" s="41"/>
      <c r="X35" s="49" t="s">
        <v>184</v>
      </c>
      <c r="Y35" s="43"/>
      <c r="Z35" s="51" t="s">
        <v>185</v>
      </c>
      <c r="AA35" s="41"/>
      <c r="AB35" s="10">
        <v>0</v>
      </c>
      <c r="AC35" s="22">
        <v>39799</v>
      </c>
      <c r="AD35" s="9" t="s">
        <v>186</v>
      </c>
      <c r="AE35" s="1"/>
      <c r="AF35" s="1"/>
      <c r="AG35" s="1"/>
      <c r="AH35" s="1"/>
      <c r="AI35" s="1"/>
      <c r="AJ35" s="1"/>
      <c r="AK35" s="1"/>
      <c r="AL35" s="17"/>
      <c r="AM35" s="30"/>
      <c r="AN35" s="30"/>
      <c r="AO35" s="16"/>
      <c r="AP35" s="16"/>
    </row>
    <row r="36" spans="2:42" ht="38.25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40">
        <v>4618</v>
      </c>
      <c r="M36" s="41"/>
      <c r="N36" s="49" t="s">
        <v>187</v>
      </c>
      <c r="O36" s="43"/>
      <c r="P36" s="51">
        <v>353800</v>
      </c>
      <c r="Q36" s="41"/>
      <c r="R36" s="10">
        <v>0</v>
      </c>
      <c r="S36" s="11">
        <v>41710</v>
      </c>
      <c r="T36" s="9" t="s">
        <v>192</v>
      </c>
      <c r="U36" s="1"/>
      <c r="V36" s="40">
        <v>6318</v>
      </c>
      <c r="W36" s="41"/>
      <c r="X36" s="49" t="s">
        <v>189</v>
      </c>
      <c r="Y36" s="43"/>
      <c r="Z36" s="51" t="s">
        <v>190</v>
      </c>
      <c r="AA36" s="41"/>
      <c r="AB36" s="10">
        <v>376245</v>
      </c>
      <c r="AC36" s="22">
        <v>44552</v>
      </c>
      <c r="AD36" s="9" t="s">
        <v>21</v>
      </c>
      <c r="AE36" s="1"/>
      <c r="AF36" s="1"/>
      <c r="AG36" s="1"/>
      <c r="AH36" s="1"/>
      <c r="AI36" s="1"/>
      <c r="AJ36" s="1"/>
      <c r="AK36" s="1"/>
      <c r="AL36" s="17"/>
      <c r="AM36" s="30"/>
      <c r="AN36" s="30"/>
      <c r="AO36" s="16"/>
      <c r="AP36" s="16"/>
    </row>
    <row r="37" spans="2:42" ht="25.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40">
        <v>3480</v>
      </c>
      <c r="M37" s="41"/>
      <c r="N37" s="49" t="s">
        <v>137</v>
      </c>
      <c r="O37" s="43"/>
      <c r="P37" s="51">
        <v>52160470</v>
      </c>
      <c r="Q37" s="41"/>
      <c r="R37" s="32">
        <v>7036470</v>
      </c>
      <c r="S37" s="8">
        <v>39437</v>
      </c>
      <c r="T37" s="9" t="s">
        <v>195</v>
      </c>
      <c r="U37" s="1"/>
      <c r="V37" s="40">
        <v>2735</v>
      </c>
      <c r="W37" s="41"/>
      <c r="X37" s="49" t="s">
        <v>191</v>
      </c>
      <c r="Y37" s="43"/>
      <c r="Z37" s="51">
        <v>145000</v>
      </c>
      <c r="AA37" s="41"/>
      <c r="AB37" s="10">
        <v>0</v>
      </c>
      <c r="AC37" s="22">
        <v>37986</v>
      </c>
      <c r="AD37" s="9" t="s">
        <v>21</v>
      </c>
      <c r="AE37" s="1"/>
      <c r="AF37" s="1"/>
      <c r="AG37" s="1"/>
      <c r="AH37" s="1"/>
      <c r="AI37" s="1"/>
      <c r="AJ37" s="1"/>
      <c r="AK37" s="1"/>
      <c r="AL37" s="17"/>
      <c r="AM37" s="31"/>
      <c r="AN37" s="31"/>
      <c r="AO37" s="16"/>
      <c r="AP37" s="16"/>
    </row>
    <row r="38" spans="2:42" ht="25.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48" t="s">
        <v>196</v>
      </c>
      <c r="M38" s="41"/>
      <c r="N38" s="49" t="s">
        <v>197</v>
      </c>
      <c r="O38" s="43"/>
      <c r="P38" s="51">
        <v>1060160</v>
      </c>
      <c r="Q38" s="41"/>
      <c r="R38" s="32">
        <v>0</v>
      </c>
      <c r="S38" s="11">
        <v>37684</v>
      </c>
      <c r="T38" s="9" t="s">
        <v>198</v>
      </c>
      <c r="U38" s="1"/>
      <c r="V38" s="40">
        <v>6329</v>
      </c>
      <c r="W38" s="41"/>
      <c r="X38" s="49" t="s">
        <v>193</v>
      </c>
      <c r="Y38" s="43"/>
      <c r="Z38" s="51" t="s">
        <v>194</v>
      </c>
      <c r="AA38" s="41"/>
      <c r="AB38" s="10">
        <v>2548098</v>
      </c>
      <c r="AC38" s="12">
        <v>44607</v>
      </c>
      <c r="AD38" s="9" t="s">
        <v>21</v>
      </c>
      <c r="AE38" s="1"/>
      <c r="AF38" s="1"/>
      <c r="AG38" s="1"/>
      <c r="AH38" s="1"/>
      <c r="AI38" s="1"/>
      <c r="AJ38" s="1"/>
      <c r="AK38" s="1"/>
      <c r="AL38" s="17"/>
      <c r="AM38" s="31"/>
      <c r="AN38" s="31"/>
      <c r="AO38" s="16"/>
      <c r="AP38" s="16"/>
    </row>
    <row r="39" spans="2:42" ht="38.25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40">
        <v>4617</v>
      </c>
      <c r="M39" s="41"/>
      <c r="N39" s="49" t="s">
        <v>187</v>
      </c>
      <c r="O39" s="43"/>
      <c r="P39" s="51">
        <v>353800</v>
      </c>
      <c r="Q39" s="41"/>
      <c r="R39" s="33">
        <v>0</v>
      </c>
      <c r="S39" s="11">
        <v>41710</v>
      </c>
      <c r="T39" s="9" t="s">
        <v>188</v>
      </c>
      <c r="U39" s="1"/>
      <c r="V39" s="40">
        <v>6331</v>
      </c>
      <c r="W39" s="41"/>
      <c r="X39" s="49" t="s">
        <v>193</v>
      </c>
      <c r="Y39" s="43"/>
      <c r="Z39" s="51" t="s">
        <v>194</v>
      </c>
      <c r="AA39" s="41"/>
      <c r="AB39" s="10">
        <v>2548098</v>
      </c>
      <c r="AC39" s="12">
        <v>44607</v>
      </c>
      <c r="AD39" s="9" t="s">
        <v>21</v>
      </c>
      <c r="AE39" s="1"/>
      <c r="AF39" s="1"/>
      <c r="AG39" s="1"/>
      <c r="AH39" s="1"/>
      <c r="AI39" s="1"/>
      <c r="AJ39" s="1"/>
      <c r="AK39" s="1"/>
      <c r="AL39" s="17"/>
      <c r="AM39" s="31"/>
      <c r="AN39" s="31"/>
      <c r="AO39" s="16"/>
      <c r="AP39" s="16"/>
    </row>
    <row r="40" spans="2:42" ht="25.5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40">
        <v>3812</v>
      </c>
      <c r="M40" s="41"/>
      <c r="N40" s="66" t="s">
        <v>202</v>
      </c>
      <c r="O40" s="43"/>
      <c r="P40" s="63">
        <v>110200</v>
      </c>
      <c r="Q40" s="41"/>
      <c r="R40" s="25">
        <v>0</v>
      </c>
      <c r="S40" s="11">
        <v>39988</v>
      </c>
      <c r="T40" s="9" t="s">
        <v>195</v>
      </c>
      <c r="U40" s="1"/>
      <c r="V40" s="40">
        <v>5967</v>
      </c>
      <c r="W40" s="41"/>
      <c r="X40" s="49" t="s">
        <v>189</v>
      </c>
      <c r="Y40" s="43"/>
      <c r="Z40" s="51" t="s">
        <v>199</v>
      </c>
      <c r="AA40" s="41"/>
      <c r="AB40" s="10">
        <v>1238787</v>
      </c>
      <c r="AC40" s="22">
        <v>44124</v>
      </c>
      <c r="AD40" s="9" t="s">
        <v>21</v>
      </c>
      <c r="AE40" s="1"/>
      <c r="AF40" s="1"/>
      <c r="AG40" s="1"/>
      <c r="AH40" s="1"/>
      <c r="AI40" s="1"/>
      <c r="AJ40" s="1"/>
      <c r="AK40" s="1"/>
      <c r="AL40" s="17"/>
      <c r="AM40" s="31"/>
      <c r="AN40" s="31"/>
      <c r="AO40" s="16"/>
      <c r="AP40" s="16"/>
    </row>
    <row r="41" spans="2:42" ht="25.5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40">
        <v>4628</v>
      </c>
      <c r="M41" s="41"/>
      <c r="N41" s="66" t="s">
        <v>202</v>
      </c>
      <c r="O41" s="43"/>
      <c r="P41" s="63">
        <v>85840</v>
      </c>
      <c r="Q41" s="41"/>
      <c r="R41" s="25">
        <v>0</v>
      </c>
      <c r="S41" s="11">
        <v>41712</v>
      </c>
      <c r="T41" s="9" t="s">
        <v>195</v>
      </c>
      <c r="U41" s="1"/>
      <c r="V41" s="40">
        <v>2218</v>
      </c>
      <c r="W41" s="41"/>
      <c r="X41" s="49" t="s">
        <v>200</v>
      </c>
      <c r="Y41" s="43"/>
      <c r="Z41" s="51">
        <v>260000</v>
      </c>
      <c r="AA41" s="41"/>
      <c r="AB41" s="10">
        <v>0</v>
      </c>
      <c r="AC41" s="22">
        <v>39378</v>
      </c>
      <c r="AD41" s="9" t="s">
        <v>201</v>
      </c>
      <c r="AE41" s="1"/>
      <c r="AF41" s="1"/>
      <c r="AG41" s="1"/>
      <c r="AH41" s="1"/>
      <c r="AI41" s="1"/>
      <c r="AJ41" s="1"/>
      <c r="AK41" s="1"/>
      <c r="AL41" s="17"/>
      <c r="AM41" s="31"/>
      <c r="AN41" s="31"/>
      <c r="AO41" s="30"/>
      <c r="AP41" s="30"/>
    </row>
    <row r="42" spans="2:42" ht="38.25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48" t="s">
        <v>204</v>
      </c>
      <c r="M42" s="41"/>
      <c r="N42" s="66" t="s">
        <v>205</v>
      </c>
      <c r="O42" s="43"/>
      <c r="P42" s="63">
        <v>7513668</v>
      </c>
      <c r="Q42" s="41"/>
      <c r="R42" s="25">
        <v>0</v>
      </c>
      <c r="S42" s="11">
        <v>37326</v>
      </c>
      <c r="T42" s="9" t="s">
        <v>206</v>
      </c>
      <c r="U42" s="1"/>
      <c r="V42" s="40">
        <v>6270</v>
      </c>
      <c r="W42" s="41"/>
      <c r="X42" s="49" t="s">
        <v>189</v>
      </c>
      <c r="Y42" s="43"/>
      <c r="Z42" s="50" t="s">
        <v>190</v>
      </c>
      <c r="AA42" s="41"/>
      <c r="AB42" s="24">
        <v>331310</v>
      </c>
      <c r="AC42" s="22">
        <v>44484</v>
      </c>
      <c r="AD42" s="9" t="s">
        <v>21</v>
      </c>
      <c r="AE42" s="1"/>
      <c r="AF42" s="1"/>
      <c r="AG42" s="1"/>
      <c r="AH42" s="1"/>
      <c r="AI42" s="1"/>
      <c r="AJ42" s="1"/>
      <c r="AK42" s="1"/>
      <c r="AL42" s="17"/>
      <c r="AM42" s="31"/>
      <c r="AN42" s="31"/>
      <c r="AO42" s="30"/>
      <c r="AP42" s="30"/>
    </row>
    <row r="43" spans="2:42" ht="5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40">
        <v>5697</v>
      </c>
      <c r="M43" s="41"/>
      <c r="N43" s="66" t="s">
        <v>208</v>
      </c>
      <c r="O43" s="43"/>
      <c r="P43" s="63">
        <v>1785000</v>
      </c>
      <c r="Q43" s="41"/>
      <c r="R43" s="25">
        <v>0</v>
      </c>
      <c r="S43" s="11">
        <v>43413</v>
      </c>
      <c r="T43" s="9" t="s">
        <v>209</v>
      </c>
      <c r="U43" s="1"/>
      <c r="V43" s="40">
        <v>4883</v>
      </c>
      <c r="W43" s="41"/>
      <c r="X43" s="49" t="s">
        <v>193</v>
      </c>
      <c r="Y43" s="43"/>
      <c r="Z43" s="50" t="s">
        <v>203</v>
      </c>
      <c r="AA43" s="41"/>
      <c r="AB43" s="24">
        <v>0</v>
      </c>
      <c r="AC43" s="22">
        <v>41939</v>
      </c>
      <c r="AD43" s="9" t="s">
        <v>21</v>
      </c>
      <c r="AE43" s="1"/>
      <c r="AF43" s="1"/>
      <c r="AG43" s="1"/>
      <c r="AH43" s="1"/>
      <c r="AI43" s="1"/>
      <c r="AJ43" s="1"/>
      <c r="AK43" s="1"/>
      <c r="AL43" s="17"/>
      <c r="AM43" s="31"/>
      <c r="AN43" s="31"/>
      <c r="AO43" s="30"/>
      <c r="AP43" s="30"/>
    </row>
    <row r="44" spans="2:42" ht="38.25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40">
        <v>4046</v>
      </c>
      <c r="M44" s="41"/>
      <c r="N44" s="66" t="s">
        <v>65</v>
      </c>
      <c r="O44" s="43"/>
      <c r="P44" s="63">
        <v>7772000</v>
      </c>
      <c r="Q44" s="41"/>
      <c r="R44" s="25">
        <v>0</v>
      </c>
      <c r="S44" s="11">
        <v>40773</v>
      </c>
      <c r="T44" s="9" t="s">
        <v>210</v>
      </c>
      <c r="U44" s="1"/>
      <c r="V44" s="40">
        <v>2764</v>
      </c>
      <c r="W44" s="41"/>
      <c r="X44" s="49" t="s">
        <v>193</v>
      </c>
      <c r="Y44" s="43"/>
      <c r="Z44" s="50" t="s">
        <v>207</v>
      </c>
      <c r="AA44" s="41"/>
      <c r="AB44" s="24">
        <v>0</v>
      </c>
      <c r="AC44" s="12">
        <v>39285</v>
      </c>
      <c r="AD44" s="9" t="s">
        <v>21</v>
      </c>
      <c r="AE44" s="1"/>
      <c r="AF44" s="1"/>
      <c r="AG44" s="1"/>
      <c r="AH44" s="1"/>
      <c r="AI44" s="1"/>
      <c r="AJ44" s="1"/>
      <c r="AK44" s="1"/>
      <c r="AL44" s="17"/>
      <c r="AM44" s="17"/>
      <c r="AN44" s="17"/>
      <c r="AO44" s="30"/>
      <c r="AP44" s="30"/>
    </row>
    <row r="45" spans="2:42" ht="38.25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40">
        <v>2954</v>
      </c>
      <c r="M45" s="41"/>
      <c r="N45" s="66" t="s">
        <v>105</v>
      </c>
      <c r="O45" s="43"/>
      <c r="P45" s="63">
        <v>240000</v>
      </c>
      <c r="Q45" s="41"/>
      <c r="R45" s="25">
        <v>0</v>
      </c>
      <c r="S45" s="11">
        <v>36892</v>
      </c>
      <c r="T45" s="9" t="s">
        <v>210</v>
      </c>
      <c r="U45" s="1"/>
      <c r="V45" s="40">
        <v>4812</v>
      </c>
      <c r="W45" s="41"/>
      <c r="X45" s="49" t="s">
        <v>193</v>
      </c>
      <c r="Y45" s="43"/>
      <c r="Z45" s="51" t="s">
        <v>203</v>
      </c>
      <c r="AA45" s="41"/>
      <c r="AB45" s="10">
        <v>0</v>
      </c>
      <c r="AC45" s="12">
        <v>41915</v>
      </c>
      <c r="AD45" s="9" t="s">
        <v>21</v>
      </c>
      <c r="AE45" s="1"/>
      <c r="AF45" s="1"/>
      <c r="AG45" s="1"/>
      <c r="AH45" s="1"/>
      <c r="AI45" s="1"/>
      <c r="AJ45" s="1"/>
      <c r="AK45" s="1"/>
      <c r="AL45" s="17"/>
      <c r="AM45" s="17"/>
      <c r="AN45" s="17"/>
      <c r="AO45" s="31"/>
      <c r="AP45" s="31"/>
    </row>
    <row r="46" spans="2:42" ht="38.25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40">
        <v>5559</v>
      </c>
      <c r="M46" s="41"/>
      <c r="N46" s="66" t="s">
        <v>65</v>
      </c>
      <c r="O46" s="43"/>
      <c r="P46" s="63">
        <v>7366100</v>
      </c>
      <c r="Q46" s="41"/>
      <c r="R46" s="25">
        <v>1173989</v>
      </c>
      <c r="S46" s="11">
        <v>43291</v>
      </c>
      <c r="T46" s="9" t="s">
        <v>213</v>
      </c>
      <c r="U46" s="1"/>
      <c r="V46" s="40">
        <v>4817</v>
      </c>
      <c r="W46" s="41"/>
      <c r="X46" s="49" t="s">
        <v>211</v>
      </c>
      <c r="Y46" s="43"/>
      <c r="Z46" s="51" t="s">
        <v>212</v>
      </c>
      <c r="AA46" s="41"/>
      <c r="AB46" s="10">
        <v>0</v>
      </c>
      <c r="AC46" s="12">
        <v>41915</v>
      </c>
      <c r="AD46" s="9" t="s">
        <v>21</v>
      </c>
      <c r="AE46" s="1"/>
      <c r="AF46" s="1"/>
      <c r="AG46" s="1"/>
      <c r="AH46" s="1"/>
      <c r="AI46" s="1"/>
      <c r="AJ46" s="1"/>
      <c r="AK46" s="1"/>
      <c r="AL46" s="17"/>
      <c r="AM46" s="17"/>
      <c r="AN46" s="17"/>
      <c r="AO46" s="31"/>
      <c r="AP46" s="31"/>
    </row>
    <row r="47" spans="2:42" ht="5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40">
        <v>4023</v>
      </c>
      <c r="M47" s="41"/>
      <c r="N47" s="66" t="s">
        <v>214</v>
      </c>
      <c r="O47" s="43"/>
      <c r="P47" s="63">
        <v>472352</v>
      </c>
      <c r="Q47" s="41"/>
      <c r="R47" s="25">
        <v>0</v>
      </c>
      <c r="S47" s="11">
        <v>40821</v>
      </c>
      <c r="T47" s="9" t="s">
        <v>215</v>
      </c>
      <c r="U47" s="1"/>
      <c r="V47" s="40">
        <v>6537</v>
      </c>
      <c r="W47" s="41"/>
      <c r="X47" s="49" t="s">
        <v>127</v>
      </c>
      <c r="Y47" s="43"/>
      <c r="Z47" s="51">
        <v>690000</v>
      </c>
      <c r="AA47" s="41"/>
      <c r="AB47" s="10">
        <v>281743</v>
      </c>
      <c r="AC47" s="12">
        <v>45160</v>
      </c>
      <c r="AD47" s="9" t="s">
        <v>21</v>
      </c>
      <c r="AE47" s="1"/>
      <c r="AF47" s="1"/>
      <c r="AG47" s="1"/>
      <c r="AH47" s="1"/>
      <c r="AI47" s="1"/>
      <c r="AJ47" s="1"/>
      <c r="AK47" s="1"/>
      <c r="AL47" s="17"/>
      <c r="AM47" s="17"/>
      <c r="AN47" s="17"/>
      <c r="AO47" s="31"/>
      <c r="AP47" s="31"/>
    </row>
    <row r="48" spans="2:42" ht="51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40">
        <v>4827</v>
      </c>
      <c r="M48" s="41"/>
      <c r="N48" s="62" t="s">
        <v>219</v>
      </c>
      <c r="O48" s="43"/>
      <c r="P48" s="63">
        <v>139200</v>
      </c>
      <c r="Q48" s="41"/>
      <c r="R48" s="25">
        <v>0</v>
      </c>
      <c r="S48" s="8">
        <v>40834</v>
      </c>
      <c r="T48" s="9" t="s">
        <v>215</v>
      </c>
      <c r="U48" s="1"/>
      <c r="V48" s="48" t="s">
        <v>216</v>
      </c>
      <c r="W48" s="41"/>
      <c r="X48" s="49" t="s">
        <v>217</v>
      </c>
      <c r="Y48" s="43"/>
      <c r="Z48" s="51">
        <v>179800</v>
      </c>
      <c r="AA48" s="41"/>
      <c r="AB48" s="10">
        <v>0</v>
      </c>
      <c r="AC48" s="12">
        <v>38398</v>
      </c>
      <c r="AD48" s="9" t="s">
        <v>218</v>
      </c>
      <c r="AE48" s="1"/>
      <c r="AF48" s="1"/>
      <c r="AG48" s="1"/>
      <c r="AH48" s="1"/>
      <c r="AI48" s="1"/>
      <c r="AJ48" s="1"/>
      <c r="AK48" s="1"/>
      <c r="AL48" s="17"/>
      <c r="AM48" s="17"/>
      <c r="AN48" s="17"/>
      <c r="AO48" s="31"/>
      <c r="AP48" s="31"/>
    </row>
    <row r="49" spans="2:42" ht="25.5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48" t="s">
        <v>222</v>
      </c>
      <c r="M49" s="41"/>
      <c r="N49" s="66" t="s">
        <v>223</v>
      </c>
      <c r="O49" s="43"/>
      <c r="P49" s="63">
        <v>5761715</v>
      </c>
      <c r="Q49" s="41"/>
      <c r="R49" s="25">
        <v>0</v>
      </c>
      <c r="S49" s="11">
        <v>37020</v>
      </c>
      <c r="T49" s="9" t="s">
        <v>224</v>
      </c>
      <c r="U49" s="1"/>
      <c r="V49" s="40">
        <v>3895</v>
      </c>
      <c r="W49" s="41"/>
      <c r="X49" s="42" t="s">
        <v>220</v>
      </c>
      <c r="Y49" s="43"/>
      <c r="Z49" s="44">
        <v>357280</v>
      </c>
      <c r="AA49" s="41"/>
      <c r="AB49" s="27">
        <v>0</v>
      </c>
      <c r="AC49" s="12">
        <v>40513</v>
      </c>
      <c r="AD49" s="9" t="s">
        <v>221</v>
      </c>
      <c r="AE49" s="1"/>
      <c r="AF49" s="1"/>
      <c r="AG49" s="1"/>
      <c r="AH49" s="1"/>
      <c r="AI49" s="1"/>
      <c r="AJ49" s="1"/>
      <c r="AK49" s="1"/>
      <c r="AL49" s="17"/>
      <c r="AM49" s="17"/>
      <c r="AN49" s="17"/>
      <c r="AO49" s="31"/>
      <c r="AP49" s="31"/>
    </row>
    <row r="50" spans="2:42" ht="25.5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40">
        <v>1119</v>
      </c>
      <c r="M50" s="41"/>
      <c r="N50" s="66" t="s">
        <v>225</v>
      </c>
      <c r="O50" s="43"/>
      <c r="P50" s="63">
        <v>1060160</v>
      </c>
      <c r="Q50" s="41"/>
      <c r="R50" s="25">
        <v>0</v>
      </c>
      <c r="S50" s="11">
        <v>37684</v>
      </c>
      <c r="T50" s="9" t="s">
        <v>226</v>
      </c>
      <c r="U50" s="1"/>
      <c r="V50" s="40">
        <v>5096</v>
      </c>
      <c r="W50" s="41"/>
      <c r="X50" s="42" t="s">
        <v>84</v>
      </c>
      <c r="Y50" s="43"/>
      <c r="Z50" s="46">
        <v>329440</v>
      </c>
      <c r="AA50" s="41"/>
      <c r="AB50" s="34">
        <v>0</v>
      </c>
      <c r="AC50" s="12">
        <v>42116</v>
      </c>
      <c r="AD50" s="9" t="s">
        <v>21</v>
      </c>
      <c r="AE50" s="1"/>
      <c r="AF50" s="1"/>
      <c r="AG50" s="1"/>
      <c r="AH50" s="1"/>
      <c r="AI50" s="1"/>
      <c r="AJ50" s="1"/>
      <c r="AK50" s="1"/>
      <c r="AL50" s="17"/>
      <c r="AM50" s="17"/>
      <c r="AN50" s="17"/>
      <c r="AO50" s="31"/>
      <c r="AP50" s="31"/>
    </row>
    <row r="51" spans="2:42" ht="51" x14ac:dyDescent="0.2">
      <c r="B51" s="1"/>
      <c r="C51" s="1"/>
      <c r="D51" s="1"/>
      <c r="E51" s="1"/>
      <c r="F51" s="1"/>
      <c r="G51" s="1"/>
      <c r="H51" s="1"/>
      <c r="I51" s="1"/>
      <c r="J51" s="1"/>
      <c r="K51" s="5"/>
      <c r="L51" s="40">
        <v>5390</v>
      </c>
      <c r="M51" s="41"/>
      <c r="N51" s="66" t="s">
        <v>214</v>
      </c>
      <c r="O51" s="43"/>
      <c r="P51" s="63">
        <v>675367</v>
      </c>
      <c r="Q51" s="41"/>
      <c r="R51" s="25">
        <v>0</v>
      </c>
      <c r="S51" s="8">
        <v>43082</v>
      </c>
      <c r="T51" s="9" t="s">
        <v>215</v>
      </c>
      <c r="U51" s="1"/>
      <c r="V51" s="40">
        <v>3629</v>
      </c>
      <c r="W51" s="41"/>
      <c r="X51" s="42" t="s">
        <v>123</v>
      </c>
      <c r="Y51" s="43"/>
      <c r="Z51" s="46">
        <v>172000</v>
      </c>
      <c r="AA51" s="41"/>
      <c r="AB51" s="34">
        <v>0</v>
      </c>
      <c r="AC51" s="22">
        <v>39792</v>
      </c>
      <c r="AD51" s="9" t="s">
        <v>21</v>
      </c>
      <c r="AE51" s="1"/>
      <c r="AF51" s="1"/>
      <c r="AG51" s="1"/>
      <c r="AH51" s="1"/>
      <c r="AI51" s="1"/>
      <c r="AJ51" s="1"/>
      <c r="AK51" s="1"/>
      <c r="AL51" s="17"/>
      <c r="AM51" s="17"/>
      <c r="AN51" s="17"/>
      <c r="AO51" s="31"/>
      <c r="AP51" s="31"/>
    </row>
    <row r="52" spans="2:42" ht="25.5" x14ac:dyDescent="0.2">
      <c r="B52" s="1"/>
      <c r="C52" s="1"/>
      <c r="D52" s="1"/>
      <c r="E52" s="1"/>
      <c r="F52" s="1"/>
      <c r="G52" s="1"/>
      <c r="H52" s="1"/>
      <c r="I52" s="1"/>
      <c r="J52" s="1"/>
      <c r="K52" s="5"/>
      <c r="L52" s="40">
        <v>4032</v>
      </c>
      <c r="M52" s="41"/>
      <c r="N52" s="66" t="s">
        <v>227</v>
      </c>
      <c r="O52" s="43"/>
      <c r="P52" s="63">
        <v>66120</v>
      </c>
      <c r="Q52" s="41"/>
      <c r="R52" s="25">
        <v>0</v>
      </c>
      <c r="S52" s="8">
        <v>40877</v>
      </c>
      <c r="T52" s="9" t="s">
        <v>228</v>
      </c>
      <c r="U52" s="1"/>
      <c r="V52" s="40">
        <v>3905</v>
      </c>
      <c r="W52" s="41"/>
      <c r="X52" s="42" t="s">
        <v>84</v>
      </c>
      <c r="Y52" s="43"/>
      <c r="Z52" s="46">
        <v>183333</v>
      </c>
      <c r="AA52" s="41"/>
      <c r="AB52" s="34">
        <v>0</v>
      </c>
      <c r="AC52" s="12">
        <v>40581</v>
      </c>
      <c r="AD52" s="9" t="s">
        <v>21</v>
      </c>
      <c r="AE52" s="1"/>
      <c r="AF52" s="1"/>
      <c r="AG52" s="1"/>
      <c r="AH52" s="1"/>
      <c r="AI52" s="1"/>
      <c r="AJ52" s="1"/>
      <c r="AK52" s="1"/>
      <c r="AL52" s="17"/>
      <c r="AM52" s="17"/>
      <c r="AN52" s="17"/>
      <c r="AO52" s="17"/>
      <c r="AP52" s="17"/>
    </row>
    <row r="53" spans="2:42" ht="12.75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53"/>
      <c r="M53" s="54"/>
      <c r="N53" s="54"/>
      <c r="O53" s="54"/>
      <c r="P53" s="54"/>
      <c r="Q53" s="54"/>
      <c r="R53" s="54"/>
      <c r="S53" s="54"/>
      <c r="T53" s="55"/>
      <c r="U53" s="1"/>
      <c r="V53" s="48" t="s">
        <v>229</v>
      </c>
      <c r="W53" s="41"/>
      <c r="X53" s="42" t="s">
        <v>230</v>
      </c>
      <c r="Y53" s="43"/>
      <c r="Z53" s="46">
        <v>359600</v>
      </c>
      <c r="AA53" s="41"/>
      <c r="AB53" s="34">
        <v>0</v>
      </c>
      <c r="AC53" s="22">
        <v>36524</v>
      </c>
      <c r="AD53" s="9" t="s">
        <v>21</v>
      </c>
      <c r="AE53" s="1"/>
      <c r="AF53" s="1"/>
      <c r="AG53" s="1"/>
      <c r="AH53" s="1"/>
      <c r="AI53" s="1"/>
      <c r="AJ53" s="1"/>
      <c r="AK53" s="1"/>
      <c r="AL53" s="17"/>
      <c r="AM53" s="17"/>
      <c r="AN53" s="17"/>
      <c r="AO53" s="17"/>
      <c r="AP53" s="17"/>
    </row>
    <row r="54" spans="2:42" ht="18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56" t="s">
        <v>233</v>
      </c>
      <c r="M54" s="57"/>
      <c r="N54" s="57"/>
      <c r="O54" s="57"/>
      <c r="P54" s="57"/>
      <c r="Q54" s="41"/>
      <c r="R54" s="58">
        <f>SUM(R5:R52)</f>
        <v>19545427</v>
      </c>
      <c r="S54" s="57"/>
      <c r="T54" s="41"/>
      <c r="U54" s="1"/>
      <c r="V54" s="48" t="s">
        <v>231</v>
      </c>
      <c r="W54" s="41"/>
      <c r="X54" s="42" t="s">
        <v>232</v>
      </c>
      <c r="Y54" s="43"/>
      <c r="Z54" s="44">
        <v>93544</v>
      </c>
      <c r="AA54" s="41"/>
      <c r="AB54" s="27">
        <v>0</v>
      </c>
      <c r="AC54" s="12">
        <v>38803</v>
      </c>
      <c r="AD54" s="9" t="s">
        <v>21</v>
      </c>
      <c r="AE54" s="1"/>
      <c r="AF54" s="1"/>
      <c r="AG54" s="1"/>
      <c r="AH54" s="1"/>
      <c r="AI54" s="1"/>
      <c r="AJ54" s="1"/>
      <c r="AK54" s="1"/>
      <c r="AL54" s="17"/>
      <c r="AM54" s="17"/>
      <c r="AN54" s="17"/>
      <c r="AO54" s="17"/>
      <c r="AP54" s="17"/>
    </row>
    <row r="55" spans="2:42" ht="12.75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48" t="s">
        <v>234</v>
      </c>
      <c r="W55" s="41"/>
      <c r="X55" s="42" t="s">
        <v>232</v>
      </c>
      <c r="Y55" s="43"/>
      <c r="Z55" s="44">
        <v>122875</v>
      </c>
      <c r="AA55" s="41"/>
      <c r="AB55" s="27">
        <v>0</v>
      </c>
      <c r="AC55" s="12">
        <v>39264</v>
      </c>
      <c r="AD55" s="9" t="s">
        <v>21</v>
      </c>
      <c r="AE55" s="1"/>
      <c r="AF55" s="1"/>
      <c r="AG55" s="1"/>
      <c r="AH55" s="1"/>
      <c r="AI55" s="1"/>
      <c r="AJ55" s="1"/>
      <c r="AK55" s="1"/>
      <c r="AL55" s="17"/>
      <c r="AM55" s="17"/>
      <c r="AN55" s="17"/>
      <c r="AO55" s="17"/>
      <c r="AP55" s="17"/>
    </row>
    <row r="56" spans="2:42" ht="12.75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48" t="s">
        <v>235</v>
      </c>
      <c r="W56" s="41"/>
      <c r="X56" s="42" t="s">
        <v>232</v>
      </c>
      <c r="Y56" s="43"/>
      <c r="Z56" s="44">
        <v>122875</v>
      </c>
      <c r="AA56" s="41"/>
      <c r="AB56" s="27">
        <v>0</v>
      </c>
      <c r="AC56" s="12">
        <v>39264</v>
      </c>
      <c r="AD56" s="9" t="s">
        <v>21</v>
      </c>
      <c r="AE56" s="1"/>
      <c r="AF56" s="1"/>
      <c r="AG56" s="1"/>
      <c r="AH56" s="1"/>
      <c r="AI56" s="1"/>
      <c r="AJ56" s="1"/>
      <c r="AK56" s="1"/>
      <c r="AL56" s="17"/>
      <c r="AM56" s="17"/>
      <c r="AN56" s="17"/>
      <c r="AO56" s="17"/>
      <c r="AP56" s="17"/>
    </row>
    <row r="57" spans="2:42" ht="12.75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47">
        <v>1006</v>
      </c>
      <c r="W57" s="41"/>
      <c r="X57" s="42" t="s">
        <v>236</v>
      </c>
      <c r="Y57" s="43"/>
      <c r="Z57" s="46">
        <v>87000</v>
      </c>
      <c r="AA57" s="41"/>
      <c r="AB57" s="34">
        <v>0</v>
      </c>
      <c r="AC57" s="22">
        <v>36524</v>
      </c>
      <c r="AD57" s="9"/>
      <c r="AE57" s="1"/>
      <c r="AF57" s="1"/>
      <c r="AG57" s="1"/>
      <c r="AH57" s="1"/>
      <c r="AI57" s="1"/>
      <c r="AJ57" s="1"/>
      <c r="AK57" s="1"/>
      <c r="AL57" s="17"/>
      <c r="AM57" s="17"/>
      <c r="AN57" s="17"/>
      <c r="AO57" s="17"/>
      <c r="AP57" s="17"/>
    </row>
    <row r="58" spans="2:42" ht="12.75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47">
        <v>2253</v>
      </c>
      <c r="W58" s="41"/>
      <c r="X58" s="42" t="s">
        <v>237</v>
      </c>
      <c r="Y58" s="43"/>
      <c r="Z58" s="46">
        <v>533600</v>
      </c>
      <c r="AA58" s="41"/>
      <c r="AB58" s="34">
        <v>0</v>
      </c>
      <c r="AC58" s="12">
        <v>38559</v>
      </c>
      <c r="AD58" s="9" t="s">
        <v>21</v>
      </c>
      <c r="AE58" s="1"/>
      <c r="AF58" s="1"/>
      <c r="AG58" s="1"/>
      <c r="AH58" s="1"/>
      <c r="AI58" s="1"/>
      <c r="AJ58" s="1"/>
      <c r="AK58" s="1"/>
      <c r="AL58" s="17"/>
      <c r="AM58" s="17"/>
      <c r="AN58" s="17"/>
      <c r="AO58" s="17"/>
      <c r="AP58" s="17"/>
    </row>
    <row r="59" spans="2:42" ht="12.75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38">
        <f>SUM(P5:Q52)</f>
        <v>109978455</v>
      </c>
      <c r="Q59" s="1"/>
      <c r="R59" s="1"/>
      <c r="S59" s="1"/>
      <c r="T59" s="1"/>
      <c r="U59" s="1"/>
      <c r="V59" s="47">
        <v>6538</v>
      </c>
      <c r="W59" s="41"/>
      <c r="X59" s="42" t="s">
        <v>127</v>
      </c>
      <c r="Y59" s="43"/>
      <c r="Z59" s="44">
        <v>690000</v>
      </c>
      <c r="AA59" s="41"/>
      <c r="AB59" s="27">
        <v>281743</v>
      </c>
      <c r="AC59" s="12">
        <v>45160</v>
      </c>
      <c r="AD59" s="9" t="s">
        <v>21</v>
      </c>
      <c r="AE59" s="1"/>
      <c r="AF59" s="1"/>
      <c r="AG59" s="1"/>
      <c r="AH59" s="1"/>
      <c r="AI59" s="1"/>
      <c r="AJ59" s="1"/>
      <c r="AK59" s="1"/>
      <c r="AL59" s="17"/>
      <c r="AM59" s="17"/>
      <c r="AN59" s="17"/>
      <c r="AO59" s="17"/>
      <c r="AP59" s="17"/>
    </row>
    <row r="60" spans="2:42" ht="12.75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35"/>
      <c r="V60" s="40">
        <v>4072</v>
      </c>
      <c r="W60" s="41"/>
      <c r="X60" s="42" t="s">
        <v>237</v>
      </c>
      <c r="Y60" s="43"/>
      <c r="Z60" s="46">
        <v>7540000</v>
      </c>
      <c r="AA60" s="41"/>
      <c r="AB60" s="34">
        <v>0</v>
      </c>
      <c r="AC60" s="12">
        <v>40989</v>
      </c>
      <c r="AD60" s="9" t="s">
        <v>21</v>
      </c>
      <c r="AE60" s="1"/>
      <c r="AF60" s="1"/>
      <c r="AG60" s="1"/>
      <c r="AH60" s="1"/>
      <c r="AI60" s="1"/>
      <c r="AJ60" s="1"/>
      <c r="AK60" s="1"/>
      <c r="AL60" s="17"/>
      <c r="AM60" s="17"/>
      <c r="AN60" s="17"/>
      <c r="AO60" s="17"/>
      <c r="AP60" s="17"/>
    </row>
    <row r="61" spans="2:42" ht="12.75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40">
        <v>6307</v>
      </c>
      <c r="W61" s="41"/>
      <c r="X61" s="42" t="s">
        <v>189</v>
      </c>
      <c r="Y61" s="43"/>
      <c r="Z61" s="46">
        <v>1207201</v>
      </c>
      <c r="AA61" s="41"/>
      <c r="AB61" s="34">
        <v>348748</v>
      </c>
      <c r="AC61" s="22">
        <v>44511</v>
      </c>
      <c r="AD61" s="9" t="s">
        <v>21</v>
      </c>
      <c r="AE61" s="1"/>
      <c r="AF61" s="1"/>
      <c r="AG61" s="1"/>
      <c r="AH61" s="1"/>
      <c r="AI61" s="1"/>
      <c r="AJ61" s="1"/>
      <c r="AK61" s="1"/>
      <c r="AL61" s="17"/>
      <c r="AM61" s="17"/>
      <c r="AN61" s="17"/>
      <c r="AO61" s="17"/>
      <c r="AP61" s="17"/>
    </row>
    <row r="62" spans="2:42" ht="12.75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40">
        <v>1713</v>
      </c>
      <c r="W62" s="41"/>
      <c r="X62" s="42" t="s">
        <v>238</v>
      </c>
      <c r="Y62" s="43"/>
      <c r="Z62" s="44">
        <v>309859</v>
      </c>
      <c r="AA62" s="41"/>
      <c r="AB62" s="27">
        <v>0</v>
      </c>
      <c r="AC62" s="12">
        <v>38503</v>
      </c>
      <c r="AD62" s="9" t="s">
        <v>21</v>
      </c>
      <c r="AE62" s="1"/>
      <c r="AF62" s="1"/>
      <c r="AG62" s="1"/>
      <c r="AH62" s="1"/>
      <c r="AI62" s="1"/>
      <c r="AJ62" s="1"/>
      <c r="AK62" s="1"/>
      <c r="AL62" s="17"/>
      <c r="AM62" s="17"/>
      <c r="AN62" s="17"/>
      <c r="AO62" s="17"/>
      <c r="AP62" s="17"/>
    </row>
    <row r="63" spans="2:42" ht="12.75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40">
        <v>1723</v>
      </c>
      <c r="W63" s="41"/>
      <c r="X63" s="42" t="s">
        <v>238</v>
      </c>
      <c r="Y63" s="43"/>
      <c r="Z63" s="44">
        <v>309859</v>
      </c>
      <c r="AA63" s="41"/>
      <c r="AB63" s="27">
        <v>0</v>
      </c>
      <c r="AC63" s="12">
        <v>38503</v>
      </c>
      <c r="AD63" s="9" t="s">
        <v>21</v>
      </c>
      <c r="AE63" s="1"/>
      <c r="AF63" s="1"/>
      <c r="AG63" s="1"/>
      <c r="AH63" s="1"/>
      <c r="AI63" s="1"/>
      <c r="AJ63" s="1"/>
      <c r="AK63" s="1"/>
      <c r="AL63" s="17"/>
      <c r="AM63" s="17"/>
      <c r="AN63" s="17"/>
      <c r="AO63" s="17"/>
      <c r="AP63" s="17"/>
    </row>
    <row r="64" spans="2:42" ht="12.75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40">
        <v>5771</v>
      </c>
      <c r="W64" s="41"/>
      <c r="X64" s="42" t="s">
        <v>239</v>
      </c>
      <c r="Y64" s="43"/>
      <c r="Z64" s="44">
        <v>1240523</v>
      </c>
      <c r="AA64" s="41"/>
      <c r="AB64" s="27">
        <v>0</v>
      </c>
      <c r="AC64" s="12">
        <v>43643</v>
      </c>
      <c r="AD64" s="9" t="s">
        <v>21</v>
      </c>
      <c r="AE64" s="1"/>
      <c r="AF64" s="1"/>
      <c r="AG64" s="1"/>
      <c r="AH64" s="1"/>
      <c r="AI64" s="1"/>
      <c r="AJ64" s="1"/>
      <c r="AK64" s="1"/>
      <c r="AL64" s="17"/>
      <c r="AM64" s="17"/>
      <c r="AN64" s="17"/>
      <c r="AO64" s="17"/>
      <c r="AP64" s="17"/>
    </row>
    <row r="65" spans="2:42" ht="12.75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45" t="s">
        <v>240</v>
      </c>
      <c r="W65" s="41"/>
      <c r="X65" s="42" t="s">
        <v>167</v>
      </c>
      <c r="Y65" s="43"/>
      <c r="Z65" s="46">
        <v>235315</v>
      </c>
      <c r="AA65" s="41"/>
      <c r="AB65" s="34">
        <v>0</v>
      </c>
      <c r="AC65" s="12">
        <v>37061</v>
      </c>
      <c r="AD65" s="9" t="s">
        <v>21</v>
      </c>
      <c r="AE65" s="1"/>
      <c r="AF65" s="1"/>
      <c r="AG65" s="1"/>
      <c r="AH65" s="1"/>
      <c r="AI65" s="1"/>
      <c r="AJ65" s="1"/>
      <c r="AK65" s="1"/>
      <c r="AL65" s="17"/>
      <c r="AM65" s="17"/>
      <c r="AN65" s="17"/>
      <c r="AO65" s="17"/>
      <c r="AP65" s="17"/>
    </row>
    <row r="66" spans="2:42" ht="12.75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45" t="s">
        <v>241</v>
      </c>
      <c r="W66" s="41"/>
      <c r="X66" s="42" t="s">
        <v>242</v>
      </c>
      <c r="Y66" s="43"/>
      <c r="Z66" s="46">
        <v>203000</v>
      </c>
      <c r="AA66" s="41"/>
      <c r="AB66" s="27">
        <v>0</v>
      </c>
      <c r="AC66" s="12">
        <v>39276</v>
      </c>
      <c r="AD66" s="9" t="s">
        <v>21</v>
      </c>
      <c r="AE66" s="1"/>
      <c r="AF66" s="1"/>
      <c r="AG66" s="1"/>
      <c r="AH66" s="1"/>
      <c r="AI66" s="1"/>
      <c r="AJ66" s="1"/>
      <c r="AK66" s="1"/>
      <c r="AL66" s="17"/>
      <c r="AM66" s="17"/>
      <c r="AN66" s="17"/>
      <c r="AO66" s="17"/>
      <c r="AP66" s="17"/>
    </row>
    <row r="67" spans="2:42" ht="12.75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40">
        <v>1139</v>
      </c>
      <c r="W67" s="41"/>
      <c r="X67" s="42" t="s">
        <v>243</v>
      </c>
      <c r="Y67" s="43"/>
      <c r="Z67" s="46">
        <v>997600</v>
      </c>
      <c r="AA67" s="41"/>
      <c r="AB67" s="34">
        <v>0</v>
      </c>
      <c r="AC67" s="12">
        <v>38530</v>
      </c>
      <c r="AD67" s="9" t="s">
        <v>21</v>
      </c>
      <c r="AE67" s="1"/>
      <c r="AF67" s="1"/>
      <c r="AG67" s="1"/>
      <c r="AH67" s="1"/>
      <c r="AI67" s="1"/>
      <c r="AJ67" s="1"/>
      <c r="AK67" s="1"/>
      <c r="AL67" s="17"/>
      <c r="AM67" s="17"/>
      <c r="AN67" s="17"/>
      <c r="AO67" s="17"/>
      <c r="AP67" s="17"/>
    </row>
    <row r="68" spans="2:42" ht="12.75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40">
        <v>1691</v>
      </c>
      <c r="W68" s="41"/>
      <c r="X68" s="42" t="s">
        <v>244</v>
      </c>
      <c r="Y68" s="43"/>
      <c r="Z68" s="44">
        <v>32480</v>
      </c>
      <c r="AA68" s="41"/>
      <c r="AB68" s="27">
        <v>0</v>
      </c>
      <c r="AC68" s="12">
        <v>37501</v>
      </c>
      <c r="AD68" s="9" t="s">
        <v>21</v>
      </c>
      <c r="AE68" s="1"/>
      <c r="AF68" s="1"/>
      <c r="AG68" s="1"/>
      <c r="AH68" s="1"/>
      <c r="AI68" s="1"/>
      <c r="AJ68" s="1"/>
      <c r="AK68" s="1"/>
      <c r="AL68" s="17"/>
      <c r="AM68" s="17"/>
      <c r="AN68" s="17"/>
      <c r="AO68" s="17"/>
      <c r="AP68" s="17"/>
    </row>
    <row r="69" spans="2:42" ht="12.75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40">
        <v>4877</v>
      </c>
      <c r="W69" s="41"/>
      <c r="X69" s="42" t="s">
        <v>245</v>
      </c>
      <c r="Y69" s="43"/>
      <c r="Z69" s="46">
        <v>6500000</v>
      </c>
      <c r="AA69" s="41"/>
      <c r="AB69" s="34">
        <v>0</v>
      </c>
      <c r="AC69" s="22">
        <v>41939</v>
      </c>
      <c r="AD69" s="9" t="s">
        <v>21</v>
      </c>
      <c r="AE69" s="1"/>
      <c r="AF69" s="1"/>
      <c r="AG69" s="1"/>
      <c r="AH69" s="1"/>
      <c r="AI69" s="1"/>
      <c r="AJ69" s="1"/>
      <c r="AK69" s="1"/>
      <c r="AL69" s="17"/>
      <c r="AM69" s="17"/>
      <c r="AN69" s="17"/>
      <c r="AO69" s="17"/>
      <c r="AP69" s="17"/>
    </row>
    <row r="70" spans="2:42" ht="12.75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40">
        <v>5779</v>
      </c>
      <c r="W70" s="41"/>
      <c r="X70" s="42" t="s">
        <v>246</v>
      </c>
      <c r="Y70" s="43"/>
      <c r="Z70" s="44">
        <v>1773620</v>
      </c>
      <c r="AA70" s="41"/>
      <c r="AB70" s="27">
        <v>0</v>
      </c>
      <c r="AC70" s="12">
        <v>43644</v>
      </c>
      <c r="AD70" s="9" t="s">
        <v>21</v>
      </c>
      <c r="AE70" s="1"/>
      <c r="AF70" s="1"/>
      <c r="AG70" s="1"/>
      <c r="AH70" s="1"/>
      <c r="AI70" s="1"/>
      <c r="AJ70" s="1"/>
      <c r="AK70" s="1"/>
      <c r="AL70" s="17"/>
      <c r="AM70" s="17"/>
      <c r="AN70" s="17"/>
      <c r="AO70" s="17"/>
      <c r="AP70" s="17"/>
    </row>
    <row r="71" spans="2:42" ht="12.75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40">
        <v>2262</v>
      </c>
      <c r="W71" s="41"/>
      <c r="X71" s="59" t="s">
        <v>247</v>
      </c>
      <c r="Y71" s="43"/>
      <c r="Z71" s="46">
        <v>786286</v>
      </c>
      <c r="AA71" s="41"/>
      <c r="AB71" s="34">
        <v>0</v>
      </c>
      <c r="AC71" s="12">
        <v>38412</v>
      </c>
      <c r="AD71" s="9" t="s">
        <v>21</v>
      </c>
      <c r="AE71" s="1"/>
      <c r="AF71" s="1"/>
      <c r="AG71" s="1"/>
      <c r="AH71" s="1"/>
      <c r="AI71" s="1"/>
      <c r="AJ71" s="1"/>
      <c r="AK71" s="1"/>
      <c r="AL71" s="17"/>
      <c r="AM71" s="17"/>
      <c r="AN71" s="17"/>
      <c r="AO71" s="17"/>
      <c r="AP71" s="17"/>
    </row>
    <row r="72" spans="2:42" ht="12.75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48" t="s">
        <v>248</v>
      </c>
      <c r="W72" s="41"/>
      <c r="X72" s="59" t="s">
        <v>247</v>
      </c>
      <c r="Y72" s="43"/>
      <c r="Z72" s="46">
        <v>900000</v>
      </c>
      <c r="AA72" s="41"/>
      <c r="AB72" s="34">
        <v>0</v>
      </c>
      <c r="AC72" s="12">
        <v>38775</v>
      </c>
      <c r="AD72" s="9" t="s">
        <v>21</v>
      </c>
      <c r="AE72" s="1"/>
      <c r="AF72" s="1"/>
      <c r="AG72" s="1"/>
      <c r="AH72" s="1"/>
      <c r="AI72" s="1"/>
      <c r="AJ72" s="1"/>
      <c r="AK72" s="1"/>
      <c r="AL72" s="17"/>
      <c r="AM72" s="17"/>
      <c r="AN72" s="17"/>
      <c r="AO72" s="17"/>
      <c r="AP72" s="17"/>
    </row>
    <row r="73" spans="2:42" ht="12.75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40">
        <v>4421</v>
      </c>
      <c r="W73" s="41"/>
      <c r="X73" s="59" t="s">
        <v>123</v>
      </c>
      <c r="Y73" s="43"/>
      <c r="Z73" s="46">
        <v>330600</v>
      </c>
      <c r="AA73" s="41"/>
      <c r="AB73" s="34">
        <v>0</v>
      </c>
      <c r="AC73" s="22">
        <v>41578</v>
      </c>
      <c r="AD73" s="9" t="s">
        <v>21</v>
      </c>
      <c r="AE73" s="1"/>
      <c r="AF73" s="1"/>
      <c r="AG73" s="1"/>
      <c r="AH73" s="1"/>
      <c r="AI73" s="1"/>
      <c r="AJ73" s="1"/>
      <c r="AK73" s="1"/>
      <c r="AL73" s="17"/>
      <c r="AM73" s="17"/>
      <c r="AN73" s="17"/>
      <c r="AO73" s="17"/>
      <c r="AP73" s="17"/>
    </row>
    <row r="74" spans="2:42" ht="12.75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40">
        <v>2960</v>
      </c>
      <c r="W74" s="41"/>
      <c r="X74" s="59" t="s">
        <v>249</v>
      </c>
      <c r="Y74" s="43"/>
      <c r="Z74" s="46">
        <v>13920</v>
      </c>
      <c r="AA74" s="41"/>
      <c r="AB74" s="34">
        <v>0</v>
      </c>
      <c r="AC74" s="12">
        <v>39121</v>
      </c>
      <c r="AD74" s="9" t="s">
        <v>21</v>
      </c>
      <c r="AE74" s="1"/>
      <c r="AF74" s="1"/>
      <c r="AG74" s="1"/>
      <c r="AH74" s="1"/>
      <c r="AI74" s="1"/>
      <c r="AJ74" s="1"/>
      <c r="AK74" s="1"/>
      <c r="AL74" s="17"/>
      <c r="AM74" s="17"/>
      <c r="AN74" s="17"/>
      <c r="AO74" s="17"/>
      <c r="AP74" s="17"/>
    </row>
    <row r="75" spans="2:42" ht="12.75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48" t="s">
        <v>250</v>
      </c>
      <c r="W75" s="41"/>
      <c r="X75" s="42" t="s">
        <v>251</v>
      </c>
      <c r="Y75" s="43"/>
      <c r="Z75" s="44">
        <v>230862</v>
      </c>
      <c r="AA75" s="41"/>
      <c r="AB75" s="27">
        <v>0</v>
      </c>
      <c r="AC75" s="22">
        <v>36857</v>
      </c>
      <c r="AD75" s="9" t="s">
        <v>21</v>
      </c>
      <c r="AE75" s="1"/>
      <c r="AF75" s="1"/>
      <c r="AG75" s="1"/>
      <c r="AH75" s="1"/>
      <c r="AI75" s="1"/>
      <c r="AJ75" s="1"/>
      <c r="AK75" s="1"/>
      <c r="AL75" s="17"/>
      <c r="AM75" s="17"/>
      <c r="AN75" s="17"/>
      <c r="AO75" s="17"/>
      <c r="AP75" s="17"/>
    </row>
    <row r="76" spans="2:42" ht="12.75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48" t="s">
        <v>252</v>
      </c>
      <c r="W76" s="41"/>
      <c r="X76" s="42" t="s">
        <v>251</v>
      </c>
      <c r="Y76" s="43"/>
      <c r="Z76" s="44">
        <v>193720</v>
      </c>
      <c r="AA76" s="41"/>
      <c r="AB76" s="27">
        <v>0</v>
      </c>
      <c r="AC76" s="12">
        <v>37825</v>
      </c>
      <c r="AD76" s="9" t="s">
        <v>21</v>
      </c>
      <c r="AE76" s="1"/>
      <c r="AF76" s="36"/>
      <c r="AG76" s="36"/>
      <c r="AH76" s="36"/>
      <c r="AI76" s="36"/>
      <c r="AJ76" s="36"/>
      <c r="AK76" s="36"/>
      <c r="AL76" s="36"/>
      <c r="AM76" s="17"/>
      <c r="AN76" s="17"/>
      <c r="AO76" s="17"/>
      <c r="AP76" s="17"/>
    </row>
    <row r="77" spans="2:42" ht="12.75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40">
        <v>3781</v>
      </c>
      <c r="W77" s="41"/>
      <c r="X77" s="42" t="s">
        <v>158</v>
      </c>
      <c r="Y77" s="43"/>
      <c r="Z77" s="44">
        <v>125000</v>
      </c>
      <c r="AA77" s="41"/>
      <c r="AB77" s="27">
        <v>0</v>
      </c>
      <c r="AC77" s="22">
        <v>40175</v>
      </c>
      <c r="AD77" s="9" t="s">
        <v>21</v>
      </c>
      <c r="AE77" s="1"/>
      <c r="AF77" s="36"/>
      <c r="AG77" s="36"/>
      <c r="AH77" s="36"/>
      <c r="AI77" s="36"/>
      <c r="AJ77" s="36"/>
      <c r="AK77" s="36"/>
      <c r="AL77" s="36"/>
      <c r="AM77" s="17"/>
      <c r="AN77" s="17"/>
      <c r="AO77" s="17"/>
      <c r="AP77" s="17"/>
    </row>
    <row r="78" spans="2:42" ht="12.75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40">
        <v>4748</v>
      </c>
      <c r="W78" s="41"/>
      <c r="X78" s="42" t="s">
        <v>253</v>
      </c>
      <c r="Y78" s="43"/>
      <c r="Z78" s="44">
        <v>295000</v>
      </c>
      <c r="AA78" s="41"/>
      <c r="AB78" s="27">
        <v>0</v>
      </c>
      <c r="AC78" s="12">
        <v>41809</v>
      </c>
      <c r="AD78" s="9" t="s">
        <v>21</v>
      </c>
      <c r="AE78" s="1"/>
      <c r="AF78" s="36"/>
      <c r="AG78" s="36"/>
      <c r="AH78" s="36"/>
      <c r="AI78" s="36"/>
      <c r="AJ78" s="36"/>
      <c r="AK78" s="36"/>
      <c r="AL78" s="36"/>
      <c r="AM78" s="17"/>
      <c r="AN78" s="17"/>
      <c r="AO78" s="17"/>
      <c r="AP78" s="17"/>
    </row>
    <row r="79" spans="2:42" ht="38.25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48" t="s">
        <v>254</v>
      </c>
      <c r="W79" s="41"/>
      <c r="X79" s="42" t="s">
        <v>255</v>
      </c>
      <c r="Y79" s="43"/>
      <c r="Z79" s="44">
        <v>585000</v>
      </c>
      <c r="AA79" s="41"/>
      <c r="AB79" s="27">
        <v>0</v>
      </c>
      <c r="AC79" s="12">
        <v>37523</v>
      </c>
      <c r="AD79" s="9" t="s">
        <v>256</v>
      </c>
      <c r="AE79" s="1"/>
      <c r="AF79" s="36"/>
      <c r="AG79" s="36"/>
      <c r="AH79" s="36"/>
      <c r="AI79" s="36"/>
      <c r="AJ79" s="36"/>
      <c r="AK79" s="36"/>
      <c r="AL79" s="36"/>
      <c r="AM79" s="17"/>
      <c r="AN79" s="17"/>
      <c r="AO79" s="17"/>
      <c r="AP79" s="17"/>
    </row>
    <row r="80" spans="2:42" ht="25.5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40">
        <v>4073</v>
      </c>
      <c r="W80" s="41"/>
      <c r="X80" s="52" t="s">
        <v>189</v>
      </c>
      <c r="Y80" s="43"/>
      <c r="Z80" s="46">
        <v>7540000</v>
      </c>
      <c r="AA80" s="41"/>
      <c r="AB80" s="34">
        <v>0</v>
      </c>
      <c r="AC80" s="12">
        <v>40989</v>
      </c>
      <c r="AD80" s="9" t="s">
        <v>257</v>
      </c>
      <c r="AE80" s="1"/>
      <c r="AF80" s="36"/>
      <c r="AG80" s="36"/>
      <c r="AH80" s="36"/>
      <c r="AI80" s="36"/>
      <c r="AJ80" s="36"/>
      <c r="AK80" s="36"/>
      <c r="AL80" s="36"/>
      <c r="AM80" s="17"/>
      <c r="AN80" s="17"/>
      <c r="AO80" s="17"/>
      <c r="AP80" s="17"/>
    </row>
    <row r="81" spans="2:42" ht="25.5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48" t="s">
        <v>258</v>
      </c>
      <c r="W81" s="41"/>
      <c r="X81" s="52" t="s">
        <v>232</v>
      </c>
      <c r="Y81" s="43"/>
      <c r="Z81" s="46">
        <v>122875</v>
      </c>
      <c r="AA81" s="41"/>
      <c r="AB81" s="34">
        <v>0</v>
      </c>
      <c r="AC81" s="12">
        <v>40990</v>
      </c>
      <c r="AD81" s="9" t="s">
        <v>257</v>
      </c>
      <c r="AE81" s="1"/>
      <c r="AF81" s="36"/>
      <c r="AG81" s="36"/>
      <c r="AH81" s="36"/>
      <c r="AI81" s="36"/>
      <c r="AJ81" s="36"/>
      <c r="AK81" s="36"/>
      <c r="AL81" s="36"/>
      <c r="AM81" s="17"/>
      <c r="AN81" s="17"/>
      <c r="AO81" s="17"/>
      <c r="AP81" s="17"/>
    </row>
    <row r="82" spans="2:42" ht="12.75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53"/>
      <c r="W82" s="54"/>
      <c r="X82" s="54"/>
      <c r="Y82" s="54"/>
      <c r="Z82" s="54"/>
      <c r="AA82" s="54"/>
      <c r="AB82" s="54"/>
      <c r="AC82" s="54"/>
      <c r="AD82" s="55"/>
      <c r="AE82" s="1"/>
      <c r="AF82" s="36"/>
      <c r="AG82" s="36"/>
      <c r="AH82" s="36"/>
      <c r="AI82" s="36"/>
      <c r="AJ82" s="36"/>
      <c r="AK82" s="36"/>
      <c r="AL82" s="36"/>
      <c r="AM82" s="17"/>
      <c r="AN82" s="17"/>
      <c r="AO82" s="17"/>
      <c r="AP82" s="17"/>
    </row>
    <row r="83" spans="2:42" ht="18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56" t="s">
        <v>259</v>
      </c>
      <c r="W83" s="57"/>
      <c r="X83" s="57"/>
      <c r="Y83" s="57"/>
      <c r="Z83" s="57"/>
      <c r="AA83" s="41"/>
      <c r="AB83" s="58">
        <f>SUM(AB5:AB81)</f>
        <v>8313270</v>
      </c>
      <c r="AC83" s="57"/>
      <c r="AD83" s="41"/>
      <c r="AE83" s="1"/>
      <c r="AF83" s="36"/>
      <c r="AG83" s="36"/>
      <c r="AH83" s="36"/>
      <c r="AI83" s="36"/>
      <c r="AJ83" s="36"/>
      <c r="AK83" s="36"/>
      <c r="AL83" s="36"/>
      <c r="AM83" s="17"/>
      <c r="AN83" s="17"/>
      <c r="AO83" s="17"/>
      <c r="AP83" s="17"/>
    </row>
    <row r="84" spans="2:42" ht="12.75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36"/>
      <c r="W84" s="36"/>
      <c r="X84" s="36"/>
      <c r="Y84" s="36"/>
      <c r="Z84" s="36"/>
      <c r="AA84" s="36"/>
      <c r="AB84" s="36"/>
      <c r="AC84" s="1"/>
      <c r="AD84" s="1"/>
      <c r="AE84" s="1"/>
      <c r="AF84" s="36"/>
      <c r="AG84" s="36"/>
      <c r="AH84" s="36"/>
      <c r="AI84" s="36"/>
      <c r="AJ84" s="36"/>
      <c r="AK84" s="36"/>
      <c r="AL84" s="36"/>
      <c r="AM84" s="17"/>
      <c r="AN84" s="17"/>
      <c r="AO84" s="17"/>
      <c r="AP84" s="17"/>
    </row>
    <row r="85" spans="2:42" ht="12.75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36"/>
      <c r="M85" s="36"/>
      <c r="N85" s="36"/>
      <c r="O85" s="36"/>
      <c r="P85" s="36"/>
      <c r="Q85" s="36"/>
      <c r="R85" s="36"/>
      <c r="S85" s="1"/>
      <c r="T85" s="1"/>
      <c r="U85" s="1"/>
      <c r="V85" s="36"/>
      <c r="W85" s="36"/>
      <c r="X85" s="36"/>
      <c r="Y85" s="36"/>
      <c r="Z85" s="36"/>
      <c r="AA85" s="36"/>
      <c r="AB85" s="36"/>
      <c r="AC85" s="1"/>
      <c r="AD85" s="1"/>
      <c r="AE85" s="1"/>
      <c r="AF85" s="36"/>
      <c r="AG85" s="36"/>
      <c r="AH85" s="36"/>
      <c r="AI85" s="36"/>
      <c r="AJ85" s="36"/>
      <c r="AK85" s="36"/>
      <c r="AL85" s="36"/>
      <c r="AM85" s="17"/>
      <c r="AN85" s="17"/>
      <c r="AO85" s="17"/>
      <c r="AP85" s="17"/>
    </row>
    <row r="86" spans="2:42" ht="12.75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36"/>
      <c r="M86" s="36"/>
      <c r="N86" s="36"/>
      <c r="O86" s="36"/>
      <c r="P86" s="36"/>
      <c r="Q86" s="36"/>
      <c r="R86" s="36"/>
      <c r="S86" s="1"/>
      <c r="T86" s="1"/>
      <c r="U86" s="1"/>
      <c r="V86" s="36"/>
      <c r="W86" s="36"/>
      <c r="Y86" s="36"/>
      <c r="Z86" s="36"/>
      <c r="AA86" s="36"/>
      <c r="AB86" s="36"/>
      <c r="AC86" s="1"/>
      <c r="AD86" s="1"/>
      <c r="AE86" s="1"/>
      <c r="AF86" s="36"/>
      <c r="AG86" s="36"/>
      <c r="AH86" s="36"/>
      <c r="AI86" s="36"/>
      <c r="AJ86" s="36"/>
      <c r="AK86" s="36"/>
      <c r="AL86" s="36"/>
      <c r="AM86" s="17"/>
      <c r="AN86" s="17"/>
      <c r="AO86" s="17"/>
      <c r="AP86" s="17"/>
    </row>
    <row r="87" spans="2:42" ht="12.75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36"/>
      <c r="M87" s="36"/>
      <c r="N87" s="36"/>
      <c r="O87" s="36"/>
      <c r="P87" s="36"/>
      <c r="Q87" s="36"/>
      <c r="R87" s="36"/>
      <c r="S87" s="1"/>
      <c r="T87" s="1"/>
      <c r="U87" s="1"/>
      <c r="V87" s="36"/>
      <c r="W87" s="36"/>
      <c r="X87" s="36"/>
      <c r="Y87" s="36"/>
      <c r="Z87" s="36"/>
      <c r="AA87" s="36"/>
      <c r="AB87" s="36"/>
      <c r="AC87" s="1"/>
      <c r="AD87" s="1"/>
      <c r="AE87" s="1"/>
      <c r="AF87" s="36"/>
      <c r="AG87" s="36"/>
      <c r="AH87" s="36"/>
      <c r="AI87" s="36"/>
      <c r="AJ87" s="36"/>
      <c r="AK87" s="36"/>
      <c r="AL87" s="36"/>
      <c r="AM87" s="17"/>
      <c r="AN87" s="17"/>
      <c r="AO87" s="17"/>
      <c r="AP87" s="17"/>
    </row>
    <row r="88" spans="2:42" ht="12.75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36"/>
      <c r="M88" s="36"/>
      <c r="N88" s="36"/>
      <c r="O88" s="36"/>
      <c r="P88" s="36"/>
      <c r="Q88" s="36"/>
      <c r="R88" s="36"/>
      <c r="S88" s="1"/>
      <c r="T88" s="1"/>
      <c r="U88" s="1"/>
      <c r="V88" s="36"/>
      <c r="W88" s="36"/>
      <c r="X88" s="36"/>
      <c r="Y88" s="36"/>
      <c r="Z88" s="39">
        <f>SUM(Z5:AA81)</f>
        <v>38415827</v>
      </c>
      <c r="AA88" s="36"/>
      <c r="AB88" s="36"/>
      <c r="AC88" s="1"/>
      <c r="AD88" s="1"/>
      <c r="AE88" s="1"/>
      <c r="AF88" s="36"/>
      <c r="AG88" s="36"/>
      <c r="AH88" s="36"/>
      <c r="AI88" s="36"/>
      <c r="AJ88" s="36"/>
      <c r="AK88" s="36"/>
      <c r="AL88" s="36"/>
      <c r="AM88" s="17"/>
      <c r="AN88" s="17"/>
      <c r="AO88" s="17"/>
      <c r="AP88" s="17"/>
    </row>
    <row r="89" spans="2:42" ht="12.75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36"/>
      <c r="M89" s="36"/>
      <c r="N89" s="36"/>
      <c r="O89" s="36"/>
      <c r="P89" s="36"/>
      <c r="Q89" s="36"/>
      <c r="R89" s="36"/>
      <c r="S89" s="1"/>
      <c r="T89" s="1"/>
      <c r="U89" s="1"/>
      <c r="V89" s="36"/>
      <c r="W89" s="36"/>
      <c r="X89" s="36"/>
      <c r="Y89" s="36"/>
      <c r="Z89" s="36"/>
      <c r="AA89" s="36"/>
      <c r="AB89" s="36"/>
      <c r="AC89" s="1"/>
      <c r="AD89" s="1"/>
      <c r="AE89" s="1"/>
      <c r="AF89" s="36"/>
      <c r="AG89" s="36"/>
      <c r="AH89" s="36"/>
      <c r="AI89" s="36"/>
      <c r="AJ89" s="36"/>
      <c r="AK89" s="36"/>
      <c r="AL89" s="36"/>
      <c r="AM89" s="17"/>
      <c r="AN89" s="17"/>
      <c r="AO89" s="17"/>
      <c r="AP89" s="17"/>
    </row>
    <row r="90" spans="2:42" ht="12.75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36"/>
      <c r="M90" s="36"/>
      <c r="N90" s="36"/>
      <c r="O90" s="36"/>
      <c r="P90" s="36"/>
      <c r="Q90" s="36"/>
      <c r="R90" s="36"/>
      <c r="S90" s="1"/>
      <c r="T90" s="1"/>
      <c r="U90" s="1"/>
      <c r="V90" s="36"/>
      <c r="W90" s="36"/>
      <c r="X90" s="36"/>
      <c r="Y90" s="36"/>
      <c r="Z90" s="36"/>
      <c r="AA90" s="36"/>
      <c r="AB90" s="36"/>
      <c r="AC90" s="1"/>
      <c r="AD90" s="1"/>
      <c r="AE90" s="1"/>
      <c r="AF90" s="36"/>
      <c r="AG90" s="36"/>
      <c r="AH90" s="36"/>
      <c r="AI90" s="36"/>
      <c r="AJ90" s="36"/>
      <c r="AK90" s="36"/>
      <c r="AL90" s="36"/>
      <c r="AM90" s="17"/>
      <c r="AN90" s="17"/>
      <c r="AO90" s="17"/>
      <c r="AP90" s="17"/>
    </row>
    <row r="91" spans="2:42" ht="12.75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36"/>
      <c r="M91" s="36"/>
      <c r="N91" s="36"/>
      <c r="O91" s="36"/>
      <c r="P91" s="36"/>
      <c r="Q91" s="36"/>
      <c r="R91" s="36"/>
      <c r="S91" s="1"/>
      <c r="T91" s="1"/>
      <c r="U91" s="1"/>
      <c r="V91" s="36"/>
      <c r="W91" s="36"/>
      <c r="X91" s="36"/>
      <c r="Y91" s="36"/>
      <c r="Z91" s="36"/>
      <c r="AA91" s="36"/>
      <c r="AB91" s="36"/>
      <c r="AC91" s="1"/>
      <c r="AD91" s="1"/>
      <c r="AE91" s="1"/>
      <c r="AF91" s="36"/>
      <c r="AG91" s="36"/>
      <c r="AH91" s="36"/>
      <c r="AI91" s="36"/>
      <c r="AJ91" s="36"/>
      <c r="AK91" s="36"/>
      <c r="AL91" s="36"/>
      <c r="AM91" s="17"/>
      <c r="AN91" s="17"/>
      <c r="AO91" s="17"/>
      <c r="AP91" s="17"/>
    </row>
    <row r="92" spans="2:42" ht="12.75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36"/>
      <c r="M92" s="36"/>
      <c r="N92" s="36"/>
      <c r="O92" s="36"/>
      <c r="P92" s="36"/>
      <c r="Q92" s="36"/>
      <c r="R92" s="36"/>
      <c r="S92" s="1"/>
      <c r="T92" s="1"/>
      <c r="U92" s="1"/>
      <c r="V92" s="36"/>
      <c r="W92" s="36"/>
      <c r="X92" s="36"/>
      <c r="Y92" s="36"/>
      <c r="Z92" s="36"/>
      <c r="AA92" s="36"/>
      <c r="AB92" s="36"/>
      <c r="AC92" s="1"/>
      <c r="AD92" s="1"/>
      <c r="AE92" s="1"/>
      <c r="AF92" s="36"/>
      <c r="AG92" s="36"/>
      <c r="AH92" s="36"/>
      <c r="AI92" s="36"/>
      <c r="AJ92" s="36"/>
      <c r="AK92" s="36"/>
      <c r="AL92" s="36"/>
      <c r="AM92" s="17"/>
      <c r="AN92" s="17"/>
      <c r="AO92" s="17"/>
      <c r="AP92" s="17"/>
    </row>
    <row r="93" spans="2:42" ht="12.75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36"/>
      <c r="M93" s="36"/>
      <c r="N93" s="36"/>
      <c r="O93" s="36"/>
      <c r="P93" s="36"/>
      <c r="Q93" s="36"/>
      <c r="R93" s="36"/>
      <c r="S93" s="1"/>
      <c r="T93" s="1"/>
      <c r="U93" s="1"/>
      <c r="V93" s="36"/>
      <c r="W93" s="36"/>
      <c r="X93" s="36"/>
      <c r="Y93" s="36"/>
      <c r="Z93" s="36"/>
      <c r="AA93" s="36"/>
      <c r="AB93" s="36"/>
      <c r="AC93" s="1"/>
      <c r="AD93" s="1"/>
      <c r="AE93" s="1"/>
      <c r="AF93" s="36"/>
      <c r="AG93" s="36"/>
      <c r="AH93" s="36"/>
      <c r="AI93" s="36"/>
      <c r="AJ93" s="36"/>
      <c r="AK93" s="36"/>
      <c r="AL93" s="36"/>
      <c r="AM93" s="17"/>
      <c r="AN93" s="17"/>
      <c r="AO93" s="17"/>
      <c r="AP93" s="17"/>
    </row>
    <row r="94" spans="2:42" ht="12.75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36"/>
      <c r="M94" s="36"/>
      <c r="N94" s="36"/>
      <c r="O94" s="36"/>
      <c r="P94" s="36"/>
      <c r="Q94" s="36"/>
      <c r="R94" s="36"/>
      <c r="S94" s="1"/>
      <c r="T94" s="1"/>
      <c r="U94" s="1"/>
      <c r="V94" s="36"/>
      <c r="W94" s="36"/>
      <c r="X94" s="36"/>
      <c r="Y94" s="36"/>
      <c r="Z94" s="36"/>
      <c r="AA94" s="36"/>
      <c r="AB94" s="36"/>
      <c r="AC94" s="1"/>
      <c r="AD94" s="1"/>
      <c r="AE94" s="1"/>
      <c r="AF94" s="36"/>
      <c r="AG94" s="36"/>
      <c r="AH94" s="36"/>
      <c r="AI94" s="36"/>
      <c r="AJ94" s="36"/>
      <c r="AK94" s="36"/>
      <c r="AL94" s="36"/>
      <c r="AM94" s="17"/>
      <c r="AN94" s="17"/>
      <c r="AO94" s="17"/>
      <c r="AP94" s="17"/>
    </row>
    <row r="95" spans="2:42" ht="12.75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36"/>
      <c r="M95" s="36"/>
      <c r="N95" s="36"/>
      <c r="O95" s="36"/>
      <c r="P95" s="36"/>
      <c r="Q95" s="36"/>
      <c r="R95" s="36"/>
      <c r="S95" s="1"/>
      <c r="T95" s="1"/>
      <c r="U95" s="1"/>
      <c r="V95" s="36"/>
      <c r="W95" s="36"/>
      <c r="X95" s="36"/>
      <c r="Y95" s="36"/>
      <c r="Z95" s="36"/>
      <c r="AA95" s="36"/>
      <c r="AB95" s="36"/>
      <c r="AC95" s="1"/>
      <c r="AD95" s="1"/>
      <c r="AE95" s="1"/>
      <c r="AF95" s="36"/>
      <c r="AG95" s="36"/>
      <c r="AH95" s="36"/>
      <c r="AI95" s="36"/>
      <c r="AJ95" s="36"/>
      <c r="AK95" s="36"/>
      <c r="AL95" s="36"/>
      <c r="AM95" s="17"/>
      <c r="AN95" s="17"/>
      <c r="AO95" s="17"/>
      <c r="AP95" s="17"/>
    </row>
    <row r="96" spans="2:42" ht="12.75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36"/>
      <c r="M96" s="36"/>
      <c r="N96" s="36"/>
      <c r="O96" s="36"/>
      <c r="P96" s="36"/>
      <c r="Q96" s="36"/>
      <c r="R96" s="36"/>
      <c r="S96" s="1"/>
      <c r="T96" s="1"/>
      <c r="U96" s="1"/>
      <c r="V96" s="36"/>
      <c r="W96" s="36"/>
      <c r="X96" s="36"/>
      <c r="Y96" s="36"/>
      <c r="Z96" s="36"/>
      <c r="AA96" s="36"/>
      <c r="AB96" s="36"/>
      <c r="AC96" s="1"/>
      <c r="AD96" s="1"/>
      <c r="AE96" s="1"/>
      <c r="AF96" s="36"/>
      <c r="AG96" s="36"/>
      <c r="AH96" s="36"/>
      <c r="AI96" s="36"/>
      <c r="AJ96" s="36"/>
      <c r="AK96" s="36"/>
      <c r="AL96" s="36"/>
      <c r="AM96" s="17"/>
      <c r="AN96" s="17"/>
      <c r="AO96" s="17"/>
      <c r="AP96" s="17"/>
    </row>
    <row r="97" spans="2:42" ht="12.75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36"/>
      <c r="M97" s="36"/>
      <c r="N97" s="36"/>
      <c r="O97" s="36"/>
      <c r="P97" s="36"/>
      <c r="Q97" s="36"/>
      <c r="R97" s="36"/>
      <c r="S97" s="1"/>
      <c r="T97" s="1"/>
      <c r="U97" s="1"/>
      <c r="V97" s="36"/>
      <c r="W97" s="36"/>
      <c r="X97" s="36"/>
      <c r="Y97" s="36"/>
      <c r="Z97" s="36"/>
      <c r="AA97" s="36"/>
      <c r="AB97" s="36"/>
      <c r="AC97" s="1"/>
      <c r="AD97" s="1"/>
      <c r="AE97" s="1"/>
      <c r="AF97" s="36"/>
      <c r="AG97" s="36"/>
      <c r="AH97" s="36"/>
      <c r="AI97" s="36"/>
      <c r="AJ97" s="36"/>
      <c r="AK97" s="36"/>
      <c r="AL97" s="36"/>
      <c r="AM97" s="17"/>
      <c r="AN97" s="17"/>
      <c r="AO97" s="17"/>
      <c r="AP97" s="17"/>
    </row>
    <row r="98" spans="2:42" ht="12.75" x14ac:dyDescent="0.2">
      <c r="B98" s="36"/>
      <c r="C98" s="36"/>
      <c r="D98" s="36"/>
      <c r="E98" s="36"/>
      <c r="F98" s="36"/>
      <c r="G98" s="36"/>
      <c r="H98" s="36"/>
      <c r="I98" s="1"/>
      <c r="J98" s="1"/>
      <c r="K98" s="1"/>
      <c r="L98" s="36"/>
      <c r="M98" s="36"/>
      <c r="N98" s="36"/>
      <c r="O98" s="36"/>
      <c r="P98" s="36"/>
      <c r="Q98" s="36"/>
      <c r="R98" s="36"/>
      <c r="S98" s="1"/>
      <c r="T98" s="1"/>
      <c r="U98" s="1"/>
      <c r="V98" s="36"/>
      <c r="W98" s="36"/>
      <c r="X98" s="36"/>
      <c r="Y98" s="36"/>
      <c r="Z98" s="36"/>
      <c r="AA98" s="36"/>
      <c r="AB98" s="36"/>
      <c r="AC98" s="1"/>
      <c r="AD98" s="1"/>
      <c r="AE98" s="1"/>
      <c r="AF98" s="36"/>
      <c r="AG98" s="36"/>
      <c r="AH98" s="36"/>
      <c r="AI98" s="36"/>
      <c r="AJ98" s="36"/>
      <c r="AK98" s="36"/>
      <c r="AL98" s="36"/>
      <c r="AM98" s="17"/>
      <c r="AN98" s="17"/>
      <c r="AO98" s="17"/>
      <c r="AP98" s="17"/>
    </row>
    <row r="99" spans="2:42" ht="12.75" x14ac:dyDescent="0.2">
      <c r="B99" s="36"/>
      <c r="C99" s="36"/>
      <c r="D99" s="36"/>
      <c r="E99" s="36"/>
      <c r="F99" s="36"/>
      <c r="G99" s="36"/>
      <c r="H99" s="36"/>
      <c r="I99" s="1"/>
      <c r="J99" s="1"/>
      <c r="K99" s="1"/>
      <c r="L99" s="36"/>
      <c r="M99" s="36"/>
      <c r="N99" s="36"/>
      <c r="O99" s="36"/>
      <c r="P99" s="36"/>
      <c r="Q99" s="36"/>
      <c r="R99" s="36"/>
      <c r="S99" s="1"/>
      <c r="T99" s="1"/>
      <c r="U99" s="1"/>
      <c r="V99" s="36"/>
      <c r="W99" s="36"/>
      <c r="X99" s="36"/>
      <c r="Y99" s="36"/>
      <c r="Z99" s="36"/>
      <c r="AA99" s="36"/>
      <c r="AB99" s="36"/>
      <c r="AC99" s="1"/>
      <c r="AD99" s="1"/>
      <c r="AE99" s="1"/>
      <c r="AF99" s="36"/>
      <c r="AG99" s="36"/>
      <c r="AH99" s="36"/>
      <c r="AI99" s="36"/>
      <c r="AJ99" s="36"/>
      <c r="AK99" s="36"/>
      <c r="AL99" s="36"/>
      <c r="AM99" s="17"/>
      <c r="AN99" s="17"/>
      <c r="AO99" s="17"/>
      <c r="AP99" s="17"/>
    </row>
    <row r="100" spans="2:42" ht="12.75" x14ac:dyDescent="0.2">
      <c r="B100" s="36"/>
      <c r="C100" s="36"/>
      <c r="D100" s="36"/>
      <c r="E100" s="36"/>
      <c r="F100" s="36"/>
      <c r="G100" s="36"/>
      <c r="H100" s="36"/>
      <c r="I100" s="1"/>
      <c r="J100" s="1"/>
      <c r="K100" s="1"/>
      <c r="L100" s="36"/>
      <c r="M100" s="36"/>
      <c r="N100" s="36"/>
      <c r="O100" s="36"/>
      <c r="P100" s="36"/>
      <c r="Q100" s="36"/>
      <c r="R100" s="36"/>
      <c r="S100" s="36"/>
      <c r="T100" s="36"/>
      <c r="U100" s="1"/>
      <c r="V100" s="36"/>
      <c r="W100" s="36"/>
      <c r="X100" s="36"/>
      <c r="Y100" s="36"/>
      <c r="Z100" s="36"/>
      <c r="AA100" s="36"/>
      <c r="AB100" s="36"/>
      <c r="AC100" s="1"/>
      <c r="AD100" s="1"/>
      <c r="AE100" s="1"/>
      <c r="AF100" s="36"/>
      <c r="AG100" s="36"/>
      <c r="AH100" s="36"/>
      <c r="AI100" s="36"/>
      <c r="AJ100" s="36"/>
      <c r="AK100" s="36"/>
      <c r="AL100" s="36"/>
      <c r="AM100" s="17"/>
      <c r="AN100" s="17"/>
      <c r="AO100" s="17"/>
      <c r="AP100" s="17"/>
    </row>
    <row r="101" spans="2:42" ht="12.75" x14ac:dyDescent="0.2">
      <c r="B101" s="36"/>
      <c r="C101" s="36"/>
      <c r="D101" s="36"/>
      <c r="E101" s="36"/>
      <c r="F101" s="36"/>
      <c r="G101" s="36"/>
      <c r="H101" s="36"/>
      <c r="I101" s="1"/>
      <c r="J101" s="1"/>
      <c r="K101" s="1"/>
      <c r="L101" s="36"/>
      <c r="M101" s="36"/>
      <c r="N101" s="36"/>
      <c r="O101" s="36"/>
      <c r="P101" s="36"/>
      <c r="Q101" s="36"/>
      <c r="R101" s="36"/>
      <c r="S101" s="36"/>
      <c r="T101" s="36"/>
      <c r="U101" s="1"/>
      <c r="V101" s="36"/>
      <c r="W101" s="36"/>
      <c r="X101" s="36"/>
      <c r="Y101" s="36"/>
      <c r="Z101" s="36"/>
      <c r="AA101" s="36"/>
      <c r="AB101" s="36"/>
      <c r="AC101" s="1"/>
      <c r="AD101" s="1"/>
      <c r="AE101" s="1"/>
      <c r="AF101" s="36"/>
      <c r="AG101" s="36"/>
      <c r="AH101" s="36"/>
      <c r="AI101" s="36"/>
      <c r="AJ101" s="36"/>
      <c r="AK101" s="36"/>
      <c r="AL101" s="36"/>
      <c r="AM101" s="36"/>
      <c r="AN101" s="36"/>
      <c r="AO101" s="17"/>
      <c r="AP101" s="17"/>
    </row>
    <row r="102" spans="2:42" ht="12.75" x14ac:dyDescent="0.2">
      <c r="B102" s="36"/>
      <c r="C102" s="36"/>
      <c r="D102" s="36"/>
      <c r="E102" s="36"/>
      <c r="F102" s="36"/>
      <c r="G102" s="36"/>
      <c r="H102" s="36"/>
      <c r="I102" s="1"/>
      <c r="J102" s="1"/>
      <c r="K102" s="1"/>
      <c r="L102" s="36"/>
      <c r="M102" s="36"/>
      <c r="N102" s="36"/>
      <c r="O102" s="36"/>
      <c r="P102" s="36"/>
      <c r="Q102" s="36"/>
      <c r="R102" s="36"/>
      <c r="S102" s="36"/>
      <c r="T102" s="36"/>
      <c r="U102" s="1"/>
      <c r="V102" s="36"/>
      <c r="W102" s="36"/>
      <c r="X102" s="36"/>
      <c r="Y102" s="36"/>
      <c r="Z102" s="36"/>
      <c r="AA102" s="36"/>
      <c r="AB102" s="36"/>
      <c r="AC102" s="36"/>
      <c r="AD102" s="36"/>
      <c r="AE102" s="1"/>
      <c r="AF102" s="36"/>
      <c r="AG102" s="36"/>
      <c r="AH102" s="36"/>
      <c r="AI102" s="36"/>
      <c r="AJ102" s="36"/>
      <c r="AK102" s="36"/>
      <c r="AL102" s="36"/>
      <c r="AM102" s="36"/>
      <c r="AN102" s="36"/>
      <c r="AO102" s="17"/>
      <c r="AP102" s="17"/>
    </row>
    <row r="103" spans="2:42" ht="12.75" x14ac:dyDescent="0.2">
      <c r="B103" s="36"/>
      <c r="C103" s="36"/>
      <c r="D103" s="36"/>
      <c r="E103" s="36"/>
      <c r="F103" s="36"/>
      <c r="G103" s="36"/>
      <c r="H103" s="36"/>
      <c r="I103" s="1"/>
      <c r="J103" s="1"/>
      <c r="K103" s="1"/>
      <c r="L103" s="36"/>
      <c r="M103" s="36"/>
      <c r="N103" s="36"/>
      <c r="O103" s="36"/>
      <c r="P103" s="36"/>
      <c r="Q103" s="36"/>
      <c r="R103" s="36"/>
      <c r="S103" s="36"/>
      <c r="T103" s="36"/>
      <c r="U103" s="1"/>
      <c r="V103" s="36"/>
      <c r="W103" s="36"/>
      <c r="X103" s="36"/>
      <c r="Y103" s="36"/>
      <c r="Z103" s="36"/>
      <c r="AA103" s="36"/>
      <c r="AB103" s="36"/>
      <c r="AC103" s="36"/>
      <c r="AD103" s="36"/>
      <c r="AE103" s="1"/>
      <c r="AF103" s="36"/>
      <c r="AG103" s="36"/>
      <c r="AH103" s="36"/>
      <c r="AI103" s="36"/>
      <c r="AJ103" s="36"/>
      <c r="AK103" s="36"/>
      <c r="AL103" s="36"/>
      <c r="AM103" s="36"/>
      <c r="AN103" s="36"/>
      <c r="AO103" s="17"/>
      <c r="AP103" s="17"/>
    </row>
    <row r="104" spans="2:42" ht="12.75" x14ac:dyDescent="0.2">
      <c r="B104" s="36"/>
      <c r="C104" s="36"/>
      <c r="D104" s="36"/>
      <c r="E104" s="36"/>
      <c r="F104" s="36"/>
      <c r="G104" s="36"/>
      <c r="H104" s="36"/>
      <c r="I104" s="1"/>
      <c r="J104" s="1"/>
      <c r="K104" s="1"/>
      <c r="L104" s="36"/>
      <c r="M104" s="36"/>
      <c r="N104" s="36"/>
      <c r="O104" s="36"/>
      <c r="P104" s="36"/>
      <c r="Q104" s="36"/>
      <c r="R104" s="36"/>
      <c r="S104" s="36"/>
      <c r="T104" s="36"/>
      <c r="U104" s="1"/>
      <c r="V104" s="36"/>
      <c r="W104" s="36"/>
      <c r="X104" s="36"/>
      <c r="Y104" s="36"/>
      <c r="Z104" s="36"/>
      <c r="AA104" s="36"/>
      <c r="AB104" s="36"/>
      <c r="AC104" s="36"/>
      <c r="AD104" s="36"/>
      <c r="AE104" s="1"/>
      <c r="AF104" s="36"/>
      <c r="AG104" s="36"/>
      <c r="AH104" s="36"/>
      <c r="AI104" s="36"/>
      <c r="AJ104" s="36"/>
      <c r="AK104" s="36"/>
      <c r="AL104" s="36"/>
      <c r="AM104" s="36"/>
      <c r="AN104" s="36"/>
      <c r="AO104" s="17"/>
      <c r="AP104" s="17"/>
    </row>
    <row r="105" spans="2:42" ht="12.75" x14ac:dyDescent="0.2">
      <c r="B105" s="36"/>
      <c r="C105" s="36"/>
      <c r="D105" s="36"/>
      <c r="E105" s="36"/>
      <c r="F105" s="36"/>
      <c r="G105" s="36"/>
      <c r="H105" s="36"/>
      <c r="I105" s="1"/>
      <c r="J105" s="1"/>
      <c r="K105" s="1"/>
      <c r="L105" s="36"/>
      <c r="M105" s="36"/>
      <c r="N105" s="36"/>
      <c r="O105" s="36"/>
      <c r="P105" s="36"/>
      <c r="Q105" s="36"/>
      <c r="R105" s="36"/>
      <c r="S105" s="36"/>
      <c r="T105" s="36"/>
      <c r="U105" s="1"/>
      <c r="V105" s="36"/>
      <c r="W105" s="36"/>
      <c r="X105" s="36"/>
      <c r="Y105" s="36"/>
      <c r="Z105" s="36"/>
      <c r="AA105" s="36"/>
      <c r="AB105" s="36"/>
      <c r="AC105" s="36"/>
      <c r="AD105" s="36"/>
      <c r="AE105" s="1"/>
      <c r="AF105" s="36"/>
      <c r="AG105" s="36"/>
      <c r="AH105" s="36"/>
      <c r="AI105" s="36"/>
      <c r="AJ105" s="36"/>
      <c r="AK105" s="36"/>
      <c r="AL105" s="36"/>
      <c r="AM105" s="36"/>
      <c r="AN105" s="36"/>
      <c r="AO105" s="17"/>
      <c r="AP105" s="17"/>
    </row>
    <row r="106" spans="2:42" ht="12.75" x14ac:dyDescent="0.2">
      <c r="B106" s="36"/>
      <c r="C106" s="36"/>
      <c r="D106" s="36"/>
      <c r="E106" s="36"/>
      <c r="F106" s="36"/>
      <c r="G106" s="36"/>
      <c r="H106" s="36"/>
      <c r="I106" s="1"/>
      <c r="J106" s="1"/>
      <c r="K106" s="1"/>
      <c r="L106" s="36"/>
      <c r="M106" s="36"/>
      <c r="N106" s="36"/>
      <c r="O106" s="36"/>
      <c r="P106" s="36"/>
      <c r="Q106" s="36"/>
      <c r="R106" s="36"/>
      <c r="S106" s="36"/>
      <c r="T106" s="36"/>
      <c r="U106" s="1"/>
      <c r="V106" s="36"/>
      <c r="W106" s="36"/>
      <c r="X106" s="36"/>
      <c r="Y106" s="36"/>
      <c r="Z106" s="36"/>
      <c r="AA106" s="36"/>
      <c r="AB106" s="36"/>
      <c r="AC106" s="36"/>
      <c r="AD106" s="36"/>
      <c r="AE106" s="1"/>
      <c r="AF106" s="36"/>
      <c r="AG106" s="36"/>
      <c r="AH106" s="36"/>
      <c r="AI106" s="36"/>
      <c r="AJ106" s="36"/>
      <c r="AK106" s="36"/>
      <c r="AL106" s="36"/>
      <c r="AM106" s="36"/>
      <c r="AN106" s="36"/>
      <c r="AO106" s="17"/>
      <c r="AP106" s="17"/>
    </row>
    <row r="107" spans="2:42" ht="12.75" x14ac:dyDescent="0.2">
      <c r="B107" s="36"/>
      <c r="C107" s="36"/>
      <c r="D107" s="36"/>
      <c r="E107" s="36"/>
      <c r="F107" s="36"/>
      <c r="G107" s="36"/>
      <c r="H107" s="36"/>
      <c r="I107" s="1"/>
      <c r="J107" s="1"/>
      <c r="K107" s="1"/>
      <c r="L107" s="36"/>
      <c r="M107" s="36"/>
      <c r="N107" s="36"/>
      <c r="O107" s="36"/>
      <c r="P107" s="36"/>
      <c r="Q107" s="36"/>
      <c r="R107" s="36"/>
      <c r="S107" s="36"/>
      <c r="T107" s="36"/>
      <c r="U107" s="1"/>
      <c r="V107" s="36"/>
      <c r="W107" s="36"/>
      <c r="X107" s="36"/>
      <c r="Y107" s="36"/>
      <c r="Z107" s="36"/>
      <c r="AA107" s="36"/>
      <c r="AB107" s="36"/>
      <c r="AC107" s="36"/>
      <c r="AD107" s="36"/>
      <c r="AE107" s="1"/>
      <c r="AF107" s="36"/>
      <c r="AG107" s="36"/>
      <c r="AH107" s="36"/>
      <c r="AI107" s="36"/>
      <c r="AJ107" s="36"/>
      <c r="AK107" s="36"/>
      <c r="AL107" s="36"/>
      <c r="AM107" s="36"/>
      <c r="AN107" s="36"/>
      <c r="AO107" s="17"/>
      <c r="AP107" s="17"/>
    </row>
    <row r="108" spans="2:42" ht="12.75" x14ac:dyDescent="0.2">
      <c r="B108" s="36"/>
      <c r="C108" s="36"/>
      <c r="D108" s="36"/>
      <c r="E108" s="36"/>
      <c r="F108" s="36"/>
      <c r="G108" s="36"/>
      <c r="H108" s="36"/>
      <c r="I108" s="36"/>
      <c r="J108" s="36"/>
      <c r="K108" s="1"/>
      <c r="L108" s="36"/>
      <c r="M108" s="36"/>
      <c r="N108" s="36"/>
      <c r="O108" s="36"/>
      <c r="P108" s="36"/>
      <c r="Q108" s="36"/>
      <c r="R108" s="36"/>
      <c r="S108" s="36"/>
      <c r="T108" s="36"/>
      <c r="U108" s="1"/>
      <c r="V108" s="36"/>
      <c r="W108" s="36"/>
      <c r="X108" s="36"/>
      <c r="Y108" s="36"/>
      <c r="Z108" s="36"/>
      <c r="AA108" s="36"/>
      <c r="AB108" s="36"/>
      <c r="AC108" s="36"/>
      <c r="AD108" s="36"/>
      <c r="AE108" s="1"/>
      <c r="AF108" s="36"/>
      <c r="AG108" s="36"/>
      <c r="AH108" s="36"/>
      <c r="AI108" s="36"/>
      <c r="AJ108" s="36"/>
      <c r="AK108" s="36"/>
      <c r="AL108" s="36"/>
      <c r="AM108" s="36"/>
      <c r="AN108" s="36"/>
      <c r="AO108" s="17"/>
      <c r="AP108" s="17"/>
    </row>
    <row r="109" spans="2:42" ht="12.75" x14ac:dyDescent="0.2"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</row>
    <row r="110" spans="2:42" ht="12.75" x14ac:dyDescent="0.2"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</row>
    <row r="111" spans="2:42" ht="12.75" x14ac:dyDescent="0.2"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</row>
    <row r="112" spans="2:42" ht="12.75" x14ac:dyDescent="0.2"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</row>
    <row r="113" spans="2:42" ht="12.75" x14ac:dyDescent="0.2"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</row>
    <row r="114" spans="2:42" ht="12.75" x14ac:dyDescent="0.2"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</row>
    <row r="115" spans="2:42" ht="12.75" x14ac:dyDescent="0.2"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</row>
    <row r="116" spans="2:42" ht="12.75" x14ac:dyDescent="0.2"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</row>
    <row r="117" spans="2:42" ht="12.75" x14ac:dyDescent="0.2"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</row>
    <row r="118" spans="2:42" ht="12.75" x14ac:dyDescent="0.2"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</row>
    <row r="119" spans="2:42" ht="12.75" x14ac:dyDescent="0.2"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</row>
    <row r="120" spans="2:42" ht="12.75" x14ac:dyDescent="0.2"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</row>
    <row r="121" spans="2:42" ht="12.75" x14ac:dyDescent="0.2"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</row>
    <row r="122" spans="2:42" ht="12.75" x14ac:dyDescent="0.2"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</row>
    <row r="123" spans="2:42" ht="12.75" x14ac:dyDescent="0.2"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</row>
    <row r="124" spans="2:42" ht="12.75" x14ac:dyDescent="0.2"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</row>
    <row r="125" spans="2:42" ht="12.75" x14ac:dyDescent="0.2"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</row>
    <row r="126" spans="2:42" ht="12.75" x14ac:dyDescent="0.2"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</row>
    <row r="127" spans="2:42" ht="12.75" x14ac:dyDescent="0.2"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</row>
    <row r="128" spans="2:42" ht="12.75" x14ac:dyDescent="0.2"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</row>
    <row r="129" spans="2:42" ht="12.75" x14ac:dyDescent="0.2"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</row>
    <row r="130" spans="2:42" ht="12.75" x14ac:dyDescent="0.2"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</row>
    <row r="131" spans="2:42" ht="12.75" x14ac:dyDescent="0.2"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</row>
    <row r="132" spans="2:42" ht="12.75" x14ac:dyDescent="0.2"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</row>
    <row r="133" spans="2:42" ht="12.75" x14ac:dyDescent="0.2"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</row>
    <row r="134" spans="2:42" ht="12.75" x14ac:dyDescent="0.2"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</row>
    <row r="135" spans="2:42" ht="12.75" x14ac:dyDescent="0.2"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</row>
    <row r="136" spans="2:42" ht="12.75" x14ac:dyDescent="0.2"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</row>
    <row r="137" spans="2:42" ht="12.75" x14ac:dyDescent="0.2"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</row>
    <row r="138" spans="2:42" ht="12.75" x14ac:dyDescent="0.2"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</row>
    <row r="139" spans="2:42" ht="12.75" x14ac:dyDescent="0.2"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</row>
    <row r="140" spans="2:42" ht="12.75" x14ac:dyDescent="0.2"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</row>
    <row r="141" spans="2:42" ht="12.75" x14ac:dyDescent="0.2"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</row>
    <row r="142" spans="2:42" ht="12.75" x14ac:dyDescent="0.2"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</row>
    <row r="143" spans="2:42" ht="12.75" x14ac:dyDescent="0.2"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</row>
    <row r="144" spans="2:42" ht="12.75" x14ac:dyDescent="0.2"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</row>
    <row r="145" spans="2:42" ht="12.75" x14ac:dyDescent="0.2"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</row>
    <row r="146" spans="2:42" ht="12.75" x14ac:dyDescent="0.2"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</row>
    <row r="147" spans="2:42" ht="12.75" x14ac:dyDescent="0.2"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</row>
    <row r="148" spans="2:42" ht="12.75" x14ac:dyDescent="0.2"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</row>
    <row r="149" spans="2:42" ht="12.75" x14ac:dyDescent="0.2"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</row>
    <row r="150" spans="2:42" ht="12.75" x14ac:dyDescent="0.2"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</row>
    <row r="151" spans="2:42" ht="12.75" x14ac:dyDescent="0.2"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</row>
    <row r="152" spans="2:42" ht="12.75" x14ac:dyDescent="0.2"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</row>
    <row r="153" spans="2:42" ht="12.75" x14ac:dyDescent="0.2"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</row>
    <row r="154" spans="2:42" ht="12.75" x14ac:dyDescent="0.2"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</row>
    <row r="155" spans="2:42" ht="12.75" x14ac:dyDescent="0.2"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</row>
    <row r="156" spans="2:42" ht="12.75" x14ac:dyDescent="0.2"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</row>
    <row r="157" spans="2:42" ht="12.75" x14ac:dyDescent="0.2"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</row>
    <row r="158" spans="2:42" ht="12.75" x14ac:dyDescent="0.2"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</row>
    <row r="159" spans="2:42" ht="12.75" x14ac:dyDescent="0.2"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</row>
    <row r="160" spans="2:42" ht="12.75" x14ac:dyDescent="0.2"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</row>
    <row r="161" spans="2:42" ht="12.75" x14ac:dyDescent="0.2"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</row>
    <row r="162" spans="2:42" ht="12.75" x14ac:dyDescent="0.2"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</row>
    <row r="163" spans="2:42" ht="12.75" x14ac:dyDescent="0.2"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</row>
    <row r="164" spans="2:42" ht="12.75" x14ac:dyDescent="0.2"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</row>
    <row r="165" spans="2:42" ht="12.75" x14ac:dyDescent="0.2"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</row>
    <row r="166" spans="2:42" ht="12.75" x14ac:dyDescent="0.2"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</row>
    <row r="167" spans="2:42" ht="12.75" x14ac:dyDescent="0.2"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</row>
    <row r="168" spans="2:42" ht="12.75" x14ac:dyDescent="0.2"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</row>
    <row r="169" spans="2:42" ht="12.75" x14ac:dyDescent="0.2"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</row>
    <row r="170" spans="2:42" ht="12.75" x14ac:dyDescent="0.2"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</row>
    <row r="171" spans="2:42" ht="12.75" x14ac:dyDescent="0.2"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</row>
    <row r="172" spans="2:42" ht="12.75" x14ac:dyDescent="0.2"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</row>
    <row r="173" spans="2:42" ht="12.75" x14ac:dyDescent="0.2"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</row>
    <row r="174" spans="2:42" ht="12.75" x14ac:dyDescent="0.2"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</row>
    <row r="175" spans="2:42" ht="12.75" x14ac:dyDescent="0.2"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</row>
    <row r="176" spans="2:42" ht="12.75" x14ac:dyDescent="0.2"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</row>
    <row r="177" spans="2:42" ht="12.75" x14ac:dyDescent="0.2"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</row>
    <row r="178" spans="2:42" ht="12.75" x14ac:dyDescent="0.2"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</row>
    <row r="179" spans="2:42" ht="12.75" x14ac:dyDescent="0.2"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</row>
    <row r="180" spans="2:42" ht="12.75" x14ac:dyDescent="0.2"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</row>
    <row r="181" spans="2:42" ht="12.75" x14ac:dyDescent="0.2"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</row>
    <row r="182" spans="2:42" ht="12.75" x14ac:dyDescent="0.2"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</row>
    <row r="183" spans="2:42" ht="12.75" x14ac:dyDescent="0.2"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</row>
    <row r="184" spans="2:42" ht="12.75" x14ac:dyDescent="0.2"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</row>
    <row r="185" spans="2:42" ht="12.75" x14ac:dyDescent="0.2"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</row>
    <row r="186" spans="2:42" ht="12.75" x14ac:dyDescent="0.2"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</row>
    <row r="187" spans="2:42" ht="12.75" x14ac:dyDescent="0.2"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</row>
    <row r="188" spans="2:42" ht="12.75" x14ac:dyDescent="0.2"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</row>
    <row r="189" spans="2:42" ht="12.75" x14ac:dyDescent="0.2"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</row>
    <row r="190" spans="2:42" ht="12.75" x14ac:dyDescent="0.2"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</row>
    <row r="191" spans="2:42" ht="12.75" x14ac:dyDescent="0.2"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</row>
    <row r="192" spans="2:42" ht="12.75" x14ac:dyDescent="0.2"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</row>
    <row r="193" spans="2:42" ht="12.75" x14ac:dyDescent="0.2"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</row>
    <row r="194" spans="2:42" ht="12.75" x14ac:dyDescent="0.2"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</row>
    <row r="195" spans="2:42" ht="12.75" x14ac:dyDescent="0.2"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</row>
    <row r="196" spans="2:42" ht="12.75" x14ac:dyDescent="0.2"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</row>
    <row r="197" spans="2:42" ht="12.75" x14ac:dyDescent="0.2"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</row>
    <row r="198" spans="2:42" ht="12.75" x14ac:dyDescent="0.2"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</row>
    <row r="199" spans="2:42" ht="12.75" x14ac:dyDescent="0.2"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</row>
    <row r="200" spans="2:42" ht="12.75" x14ac:dyDescent="0.2"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</row>
    <row r="201" spans="2:42" ht="12.75" x14ac:dyDescent="0.2"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</row>
    <row r="202" spans="2:42" ht="12.75" x14ac:dyDescent="0.2"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</row>
    <row r="203" spans="2:42" ht="12.75" x14ac:dyDescent="0.2"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</row>
    <row r="204" spans="2:42" ht="12.75" x14ac:dyDescent="0.2"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</row>
    <row r="205" spans="2:42" ht="12.75" x14ac:dyDescent="0.2"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</row>
    <row r="206" spans="2:42" ht="12.75" x14ac:dyDescent="0.2"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</row>
    <row r="207" spans="2:42" ht="12.75" x14ac:dyDescent="0.2"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</row>
    <row r="208" spans="2:42" ht="12.75" x14ac:dyDescent="0.2"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</row>
    <row r="209" spans="2:42" ht="12.75" x14ac:dyDescent="0.2"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</row>
    <row r="210" spans="2:42" ht="12.75" x14ac:dyDescent="0.2"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</row>
    <row r="211" spans="2:42" ht="12.75" x14ac:dyDescent="0.2"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</row>
    <row r="212" spans="2:42" ht="12.75" x14ac:dyDescent="0.2"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</row>
    <row r="213" spans="2:42" ht="12.75" x14ac:dyDescent="0.2"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</row>
    <row r="214" spans="2:42" ht="12.75" x14ac:dyDescent="0.2"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</row>
    <row r="215" spans="2:42" ht="12.75" x14ac:dyDescent="0.2"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</row>
    <row r="216" spans="2:42" ht="12.75" x14ac:dyDescent="0.2"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</row>
    <row r="217" spans="2:42" ht="12.75" x14ac:dyDescent="0.2"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</row>
    <row r="218" spans="2:42" ht="12.75" x14ac:dyDescent="0.2"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</row>
    <row r="219" spans="2:42" ht="12.75" x14ac:dyDescent="0.2"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</row>
    <row r="220" spans="2:42" ht="12.75" x14ac:dyDescent="0.2"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</row>
    <row r="221" spans="2:42" ht="12.75" x14ac:dyDescent="0.2"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</row>
    <row r="222" spans="2:42" ht="12.75" x14ac:dyDescent="0.2"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</row>
    <row r="223" spans="2:42" ht="12.75" x14ac:dyDescent="0.2"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</row>
    <row r="224" spans="2:42" ht="12.75" x14ac:dyDescent="0.2"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</row>
    <row r="225" spans="2:42" ht="12.75" x14ac:dyDescent="0.2"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</row>
    <row r="226" spans="2:42" ht="12.75" x14ac:dyDescent="0.2"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</row>
    <row r="227" spans="2:42" ht="12.75" x14ac:dyDescent="0.2"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</row>
    <row r="228" spans="2:42" ht="12.75" x14ac:dyDescent="0.2"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</row>
    <row r="229" spans="2:42" ht="12.75" x14ac:dyDescent="0.2"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</row>
    <row r="230" spans="2:42" ht="12.75" x14ac:dyDescent="0.2"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</row>
    <row r="231" spans="2:42" ht="12.75" x14ac:dyDescent="0.2"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</row>
    <row r="232" spans="2:42" ht="12.75" x14ac:dyDescent="0.2"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</row>
    <row r="233" spans="2:42" ht="12.75" x14ac:dyDescent="0.2"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</row>
    <row r="234" spans="2:42" ht="12.75" x14ac:dyDescent="0.2"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</row>
    <row r="235" spans="2:42" ht="12.75" x14ac:dyDescent="0.2"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</row>
    <row r="236" spans="2:42" ht="12.75" x14ac:dyDescent="0.2"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</row>
    <row r="237" spans="2:42" ht="12.75" x14ac:dyDescent="0.2"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</row>
    <row r="238" spans="2:42" ht="12.75" x14ac:dyDescent="0.2"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</row>
    <row r="239" spans="2:42" ht="12.75" x14ac:dyDescent="0.2"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</row>
    <row r="240" spans="2:42" ht="12.75" x14ac:dyDescent="0.2"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</row>
    <row r="241" spans="2:42" ht="12.75" x14ac:dyDescent="0.2"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</row>
    <row r="242" spans="2:42" ht="12.75" x14ac:dyDescent="0.2"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</row>
    <row r="243" spans="2:42" ht="12.75" x14ac:dyDescent="0.2"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</row>
    <row r="244" spans="2:42" ht="12.75" x14ac:dyDescent="0.2"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</row>
    <row r="245" spans="2:42" ht="12.75" x14ac:dyDescent="0.2"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</row>
    <row r="246" spans="2:42" ht="12.75" x14ac:dyDescent="0.2"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</row>
    <row r="247" spans="2:42" ht="12.75" x14ac:dyDescent="0.2"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</row>
    <row r="248" spans="2:42" ht="12.75" x14ac:dyDescent="0.2"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</row>
    <row r="249" spans="2:42" ht="12.75" x14ac:dyDescent="0.2"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</row>
    <row r="250" spans="2:42" ht="12.75" x14ac:dyDescent="0.2"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</row>
    <row r="251" spans="2:42" ht="12.75" x14ac:dyDescent="0.2"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</row>
    <row r="252" spans="2:42" ht="12.75" x14ac:dyDescent="0.2"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</row>
    <row r="253" spans="2:42" ht="12.75" x14ac:dyDescent="0.2"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</row>
    <row r="254" spans="2:42" ht="12.75" x14ac:dyDescent="0.2"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</row>
    <row r="255" spans="2:42" ht="12.75" x14ac:dyDescent="0.2"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</row>
    <row r="256" spans="2:42" ht="12.75" x14ac:dyDescent="0.2"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</row>
    <row r="257" spans="2:42" ht="12.75" x14ac:dyDescent="0.2"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</row>
    <row r="258" spans="2:42" ht="12.75" x14ac:dyDescent="0.2"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</row>
    <row r="259" spans="2:42" ht="12.75" x14ac:dyDescent="0.2"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</row>
    <row r="260" spans="2:42" ht="12.75" x14ac:dyDescent="0.2"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</row>
    <row r="261" spans="2:42" ht="12.75" x14ac:dyDescent="0.2"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</row>
    <row r="262" spans="2:42" ht="12.75" x14ac:dyDescent="0.2"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</row>
    <row r="263" spans="2:42" ht="12.75" x14ac:dyDescent="0.2"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</row>
    <row r="264" spans="2:42" ht="12.75" x14ac:dyDescent="0.2"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</row>
    <row r="265" spans="2:42" ht="12.75" x14ac:dyDescent="0.2"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</row>
    <row r="266" spans="2:42" ht="12.75" x14ac:dyDescent="0.2"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</row>
    <row r="267" spans="2:42" ht="12.75" x14ac:dyDescent="0.2"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</row>
    <row r="268" spans="2:42" ht="12.75" x14ac:dyDescent="0.2"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</row>
    <row r="269" spans="2:42" ht="12.75" x14ac:dyDescent="0.2"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</row>
    <row r="270" spans="2:42" ht="12.75" x14ac:dyDescent="0.2"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</row>
    <row r="271" spans="2:42" ht="12.75" x14ac:dyDescent="0.2"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</row>
    <row r="272" spans="2:42" ht="12.75" x14ac:dyDescent="0.2"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</row>
    <row r="273" spans="2:42" ht="12.75" x14ac:dyDescent="0.2"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</row>
    <row r="274" spans="2:42" ht="12.75" x14ac:dyDescent="0.2"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</row>
    <row r="275" spans="2:42" ht="12.75" x14ac:dyDescent="0.2"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</row>
    <row r="276" spans="2:42" ht="12.75" x14ac:dyDescent="0.2"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</row>
    <row r="277" spans="2:42" ht="12.75" x14ac:dyDescent="0.2"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</row>
    <row r="278" spans="2:42" ht="12.75" x14ac:dyDescent="0.2"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</row>
    <row r="279" spans="2:42" ht="12.75" x14ac:dyDescent="0.2"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</row>
    <row r="280" spans="2:42" ht="12.75" x14ac:dyDescent="0.2"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</row>
    <row r="281" spans="2:42" ht="12.75" x14ac:dyDescent="0.2"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</row>
    <row r="282" spans="2:42" ht="12.75" x14ac:dyDescent="0.2"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</row>
    <row r="283" spans="2:42" ht="12.75" x14ac:dyDescent="0.2"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</row>
    <row r="284" spans="2:42" ht="12.75" x14ac:dyDescent="0.2"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</row>
    <row r="285" spans="2:42" ht="12.75" x14ac:dyDescent="0.2"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</row>
    <row r="286" spans="2:42" ht="12.75" x14ac:dyDescent="0.2"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</row>
    <row r="287" spans="2:42" ht="12.75" x14ac:dyDescent="0.2"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</row>
    <row r="288" spans="2:42" ht="12.75" x14ac:dyDescent="0.2"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</row>
    <row r="289" spans="2:42" ht="12.75" x14ac:dyDescent="0.2"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</row>
    <row r="290" spans="2:42" ht="12.75" x14ac:dyDescent="0.2"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</row>
    <row r="291" spans="2:42" ht="12.75" x14ac:dyDescent="0.2"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</row>
    <row r="292" spans="2:42" ht="12.75" x14ac:dyDescent="0.2"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</row>
    <row r="293" spans="2:42" ht="12.75" x14ac:dyDescent="0.2"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</row>
    <row r="294" spans="2:42" ht="12.75" x14ac:dyDescent="0.2"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</row>
    <row r="295" spans="2:42" ht="12.75" x14ac:dyDescent="0.2"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</row>
    <row r="296" spans="2:42" ht="12.75" x14ac:dyDescent="0.2"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</row>
    <row r="297" spans="2:42" ht="12.75" x14ac:dyDescent="0.2"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</row>
    <row r="298" spans="2:42" ht="12.75" x14ac:dyDescent="0.2"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</row>
    <row r="299" spans="2:42" ht="12.75" x14ac:dyDescent="0.2"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</row>
    <row r="300" spans="2:42" ht="12.75" x14ac:dyDescent="0.2"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</row>
    <row r="301" spans="2:42" ht="12.75" x14ac:dyDescent="0.2"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</row>
    <row r="302" spans="2:42" ht="12.75" x14ac:dyDescent="0.2"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</row>
    <row r="303" spans="2:42" ht="12.75" x14ac:dyDescent="0.2"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</row>
    <row r="304" spans="2:42" ht="12.75" x14ac:dyDescent="0.2"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</row>
    <row r="305" spans="2:42" ht="12.75" x14ac:dyDescent="0.2"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</row>
    <row r="306" spans="2:42" ht="12.75" x14ac:dyDescent="0.2"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</row>
    <row r="307" spans="2:42" ht="12.75" x14ac:dyDescent="0.2"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</row>
    <row r="308" spans="2:42" ht="12.75" x14ac:dyDescent="0.2"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</row>
    <row r="309" spans="2:42" ht="12.75" x14ac:dyDescent="0.2"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</row>
    <row r="310" spans="2:42" ht="12.75" x14ac:dyDescent="0.2"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</row>
    <row r="311" spans="2:42" ht="12.75" x14ac:dyDescent="0.2"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</row>
    <row r="312" spans="2:42" ht="12.75" x14ac:dyDescent="0.2"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</row>
    <row r="313" spans="2:42" ht="12.75" x14ac:dyDescent="0.2"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</row>
    <row r="314" spans="2:42" ht="12.75" x14ac:dyDescent="0.2"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</row>
    <row r="315" spans="2:42" ht="12.75" x14ac:dyDescent="0.2"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</row>
    <row r="316" spans="2:42" ht="12.75" x14ac:dyDescent="0.2"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</row>
    <row r="317" spans="2:42" ht="12.75" x14ac:dyDescent="0.2"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</row>
    <row r="318" spans="2:42" ht="12.75" x14ac:dyDescent="0.2"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</row>
    <row r="319" spans="2:42" ht="12.75" x14ac:dyDescent="0.2"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</row>
    <row r="320" spans="2:42" ht="12.75" x14ac:dyDescent="0.2"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</row>
    <row r="321" spans="2:42" ht="12.75" x14ac:dyDescent="0.2"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</row>
    <row r="322" spans="2:42" ht="12.75" x14ac:dyDescent="0.2"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</row>
    <row r="323" spans="2:42" ht="12.75" x14ac:dyDescent="0.2"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</row>
    <row r="324" spans="2:42" ht="12.75" x14ac:dyDescent="0.2"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</row>
    <row r="325" spans="2:42" ht="12.75" x14ac:dyDescent="0.2"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</row>
    <row r="326" spans="2:42" ht="12.75" x14ac:dyDescent="0.2"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</row>
    <row r="327" spans="2:42" ht="12.75" x14ac:dyDescent="0.2"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</row>
    <row r="328" spans="2:42" ht="12.75" x14ac:dyDescent="0.2"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</row>
    <row r="329" spans="2:42" ht="12.75" x14ac:dyDescent="0.2"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</row>
    <row r="330" spans="2:42" ht="12.75" x14ac:dyDescent="0.2"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</row>
    <row r="331" spans="2:42" ht="12.75" x14ac:dyDescent="0.2"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</row>
    <row r="332" spans="2:42" ht="12.75" x14ac:dyDescent="0.2"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</row>
    <row r="333" spans="2:42" ht="12.75" x14ac:dyDescent="0.2"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</row>
    <row r="334" spans="2:42" ht="12.75" x14ac:dyDescent="0.2"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</row>
    <row r="335" spans="2:42" ht="12.75" x14ac:dyDescent="0.2"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</row>
    <row r="336" spans="2:42" ht="12.75" x14ac:dyDescent="0.2"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</row>
    <row r="337" spans="2:42" ht="12.75" x14ac:dyDescent="0.2"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</row>
    <row r="338" spans="2:42" ht="12.75" x14ac:dyDescent="0.2"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</row>
    <row r="339" spans="2:42" ht="12.75" x14ac:dyDescent="0.2"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</row>
    <row r="340" spans="2:42" ht="12.75" x14ac:dyDescent="0.2"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</row>
    <row r="341" spans="2:42" ht="12.75" x14ac:dyDescent="0.2"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</row>
    <row r="342" spans="2:42" ht="12.75" x14ac:dyDescent="0.2"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</row>
    <row r="343" spans="2:42" ht="12.75" x14ac:dyDescent="0.2"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</row>
    <row r="344" spans="2:42" ht="12.75" x14ac:dyDescent="0.2"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</row>
    <row r="345" spans="2:42" ht="12.75" x14ac:dyDescent="0.2"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</row>
    <row r="346" spans="2:42" ht="12.75" x14ac:dyDescent="0.2"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</row>
    <row r="347" spans="2:42" ht="12.75" x14ac:dyDescent="0.2"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</row>
    <row r="348" spans="2:42" ht="12.75" x14ac:dyDescent="0.2"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</row>
    <row r="349" spans="2:42" ht="12.75" x14ac:dyDescent="0.2"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</row>
    <row r="350" spans="2:42" ht="12.75" x14ac:dyDescent="0.2"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</row>
    <row r="351" spans="2:42" ht="12.75" x14ac:dyDescent="0.2"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</row>
    <row r="352" spans="2:42" ht="12.75" x14ac:dyDescent="0.2"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</row>
    <row r="353" spans="2:42" ht="12.75" x14ac:dyDescent="0.2"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</row>
    <row r="354" spans="2:42" ht="12.75" x14ac:dyDescent="0.2"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</row>
    <row r="355" spans="2:42" ht="12.75" x14ac:dyDescent="0.2"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</row>
    <row r="356" spans="2:42" ht="12.75" x14ac:dyDescent="0.2"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</row>
    <row r="357" spans="2:42" ht="12.75" x14ac:dyDescent="0.2"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</row>
    <row r="358" spans="2:42" ht="12.75" x14ac:dyDescent="0.2"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</row>
    <row r="359" spans="2:42" ht="12.75" x14ac:dyDescent="0.2"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</row>
    <row r="360" spans="2:42" ht="12.75" x14ac:dyDescent="0.2"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</row>
    <row r="361" spans="2:42" ht="12.75" x14ac:dyDescent="0.2"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</row>
    <row r="362" spans="2:42" ht="12.75" x14ac:dyDescent="0.2"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</row>
    <row r="363" spans="2:42" ht="12.75" x14ac:dyDescent="0.2"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</row>
    <row r="364" spans="2:42" ht="12.75" x14ac:dyDescent="0.2"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</row>
    <row r="365" spans="2:42" ht="12.75" x14ac:dyDescent="0.2"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</row>
    <row r="366" spans="2:42" ht="12.75" x14ac:dyDescent="0.2"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</row>
    <row r="367" spans="2:42" ht="12.75" x14ac:dyDescent="0.2"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</row>
    <row r="368" spans="2:42" ht="12.75" x14ac:dyDescent="0.2"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</row>
    <row r="369" spans="2:42" ht="12.75" x14ac:dyDescent="0.2"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</row>
    <row r="370" spans="2:42" ht="12.75" x14ac:dyDescent="0.2"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</row>
    <row r="371" spans="2:42" ht="12.75" x14ac:dyDescent="0.2"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</row>
    <row r="372" spans="2:42" ht="12.75" x14ac:dyDescent="0.2"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</row>
    <row r="373" spans="2:42" ht="12.75" x14ac:dyDescent="0.2"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</row>
    <row r="374" spans="2:42" ht="12.75" x14ac:dyDescent="0.2"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</row>
    <row r="375" spans="2:42" ht="12.75" x14ac:dyDescent="0.2"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</row>
    <row r="376" spans="2:42" ht="12.75" x14ac:dyDescent="0.2"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</row>
    <row r="377" spans="2:42" ht="12.75" x14ac:dyDescent="0.2"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</row>
    <row r="378" spans="2:42" ht="12.75" x14ac:dyDescent="0.2"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</row>
    <row r="379" spans="2:42" ht="12.75" x14ac:dyDescent="0.2"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</row>
    <row r="380" spans="2:42" ht="12.75" x14ac:dyDescent="0.2"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</row>
    <row r="381" spans="2:42" ht="12.75" x14ac:dyDescent="0.2"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</row>
    <row r="382" spans="2:42" ht="12.75" x14ac:dyDescent="0.2"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</row>
    <row r="383" spans="2:42" ht="12.75" x14ac:dyDescent="0.2"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</row>
    <row r="384" spans="2:42" ht="12.75" x14ac:dyDescent="0.2"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</row>
    <row r="385" spans="2:42" ht="12.75" x14ac:dyDescent="0.2"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</row>
    <row r="386" spans="2:42" ht="12.75" x14ac:dyDescent="0.2"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</row>
    <row r="387" spans="2:42" ht="12.75" x14ac:dyDescent="0.2"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</row>
    <row r="388" spans="2:42" ht="12.75" x14ac:dyDescent="0.2"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</row>
    <row r="389" spans="2:42" ht="12.75" x14ac:dyDescent="0.2"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</row>
    <row r="390" spans="2:42" ht="12.75" x14ac:dyDescent="0.2"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</row>
    <row r="391" spans="2:42" ht="12.75" x14ac:dyDescent="0.2"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</row>
    <row r="392" spans="2:42" ht="12.75" x14ac:dyDescent="0.2"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</row>
    <row r="393" spans="2:42" ht="12.75" x14ac:dyDescent="0.2"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</row>
    <row r="394" spans="2:42" ht="12.75" x14ac:dyDescent="0.2"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</row>
    <row r="395" spans="2:42" ht="12.75" x14ac:dyDescent="0.2"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</row>
    <row r="396" spans="2:42" ht="12.75" x14ac:dyDescent="0.2"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</row>
    <row r="397" spans="2:42" ht="12.75" x14ac:dyDescent="0.2"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</row>
    <row r="398" spans="2:42" ht="12.75" x14ac:dyDescent="0.2"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</row>
    <row r="399" spans="2:42" ht="12.75" x14ac:dyDescent="0.2"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</row>
    <row r="400" spans="2:42" ht="12.75" x14ac:dyDescent="0.2"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</row>
    <row r="401" spans="2:42" ht="12.75" x14ac:dyDescent="0.2"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</row>
    <row r="402" spans="2:42" ht="12.75" x14ac:dyDescent="0.2"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</row>
    <row r="403" spans="2:42" ht="12.75" x14ac:dyDescent="0.2"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</row>
    <row r="404" spans="2:42" ht="12.75" x14ac:dyDescent="0.2"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</row>
    <row r="405" spans="2:42" ht="12.75" x14ac:dyDescent="0.2"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</row>
    <row r="406" spans="2:42" ht="12.75" x14ac:dyDescent="0.2"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</row>
    <row r="407" spans="2:42" ht="12.75" x14ac:dyDescent="0.2"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</row>
    <row r="408" spans="2:42" ht="12.75" x14ac:dyDescent="0.2"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</row>
    <row r="409" spans="2:42" ht="12.75" x14ac:dyDescent="0.2"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</row>
    <row r="410" spans="2:42" ht="12.75" x14ac:dyDescent="0.2"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</row>
    <row r="411" spans="2:42" ht="12.75" x14ac:dyDescent="0.2"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</row>
    <row r="412" spans="2:42" ht="12.75" x14ac:dyDescent="0.2"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</row>
    <row r="413" spans="2:42" ht="12.75" x14ac:dyDescent="0.2"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</row>
    <row r="414" spans="2:42" ht="12.75" x14ac:dyDescent="0.2"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</row>
    <row r="415" spans="2:42" ht="12.75" x14ac:dyDescent="0.2"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</row>
    <row r="416" spans="2:42" ht="12.75" x14ac:dyDescent="0.2"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</row>
    <row r="417" spans="2:42" ht="12.75" x14ac:dyDescent="0.2"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</row>
    <row r="418" spans="2:42" ht="12.75" x14ac:dyDescent="0.2"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</row>
    <row r="419" spans="2:42" ht="12.75" x14ac:dyDescent="0.2"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</row>
    <row r="420" spans="2:42" ht="12.75" x14ac:dyDescent="0.2"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</row>
    <row r="421" spans="2:42" ht="12.75" x14ac:dyDescent="0.2"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</row>
    <row r="422" spans="2:42" ht="12.75" x14ac:dyDescent="0.2"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</row>
    <row r="423" spans="2:42" ht="12.75" x14ac:dyDescent="0.2"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</row>
    <row r="424" spans="2:42" ht="12.75" x14ac:dyDescent="0.2"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</row>
    <row r="425" spans="2:42" ht="12.75" x14ac:dyDescent="0.2"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</row>
    <row r="426" spans="2:42" ht="12.75" x14ac:dyDescent="0.2"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</row>
    <row r="427" spans="2:42" ht="12.75" x14ac:dyDescent="0.2"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</row>
    <row r="428" spans="2:42" ht="12.75" x14ac:dyDescent="0.2"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</row>
    <row r="429" spans="2:42" ht="12.75" x14ac:dyDescent="0.2"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</row>
    <row r="430" spans="2:42" ht="12.75" x14ac:dyDescent="0.2"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</row>
    <row r="431" spans="2:42" ht="12.75" x14ac:dyDescent="0.2"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</row>
    <row r="432" spans="2:42" ht="12.75" x14ac:dyDescent="0.2"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</row>
    <row r="433" spans="2:42" ht="12.75" x14ac:dyDescent="0.2"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</row>
    <row r="434" spans="2:42" ht="12.75" x14ac:dyDescent="0.2"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</row>
    <row r="435" spans="2:42" ht="12.75" x14ac:dyDescent="0.2"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</row>
    <row r="436" spans="2:42" ht="12.75" x14ac:dyDescent="0.2"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</row>
    <row r="437" spans="2:42" ht="12.75" x14ac:dyDescent="0.2"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</row>
    <row r="438" spans="2:42" ht="12.75" x14ac:dyDescent="0.2"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</row>
    <row r="439" spans="2:42" ht="12.75" x14ac:dyDescent="0.2"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</row>
    <row r="440" spans="2:42" ht="12.75" x14ac:dyDescent="0.2"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</row>
    <row r="441" spans="2:42" ht="12.75" x14ac:dyDescent="0.2"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</row>
    <row r="442" spans="2:42" ht="12.75" x14ac:dyDescent="0.2"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</row>
    <row r="443" spans="2:42" ht="12.75" x14ac:dyDescent="0.2"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</row>
    <row r="444" spans="2:42" ht="12.75" x14ac:dyDescent="0.2"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</row>
    <row r="445" spans="2:42" ht="12.75" x14ac:dyDescent="0.2"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</row>
    <row r="446" spans="2:42" ht="12.75" x14ac:dyDescent="0.2"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</row>
    <row r="447" spans="2:42" ht="12.75" x14ac:dyDescent="0.2"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</row>
    <row r="448" spans="2:42" ht="12.75" x14ac:dyDescent="0.2"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</row>
    <row r="449" spans="2:42" ht="12.75" x14ac:dyDescent="0.2"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</row>
    <row r="450" spans="2:42" ht="12.75" x14ac:dyDescent="0.2"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</row>
    <row r="451" spans="2:42" ht="12.75" x14ac:dyDescent="0.2"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</row>
    <row r="452" spans="2:42" ht="12.75" x14ac:dyDescent="0.2"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</row>
    <row r="453" spans="2:42" ht="12.75" x14ac:dyDescent="0.2"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</row>
    <row r="454" spans="2:42" ht="12.75" x14ac:dyDescent="0.2"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</row>
    <row r="455" spans="2:42" ht="12.75" x14ac:dyDescent="0.2"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</row>
    <row r="456" spans="2:42" ht="12.75" x14ac:dyDescent="0.2"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</row>
    <row r="457" spans="2:42" ht="12.75" x14ac:dyDescent="0.2"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</row>
    <row r="458" spans="2:42" ht="12.75" x14ac:dyDescent="0.2"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</row>
    <row r="459" spans="2:42" ht="12.75" x14ac:dyDescent="0.2"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</row>
    <row r="460" spans="2:42" ht="12.75" x14ac:dyDescent="0.2"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</row>
    <row r="461" spans="2:42" ht="12.75" x14ac:dyDescent="0.2"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</row>
    <row r="462" spans="2:42" ht="12.75" x14ac:dyDescent="0.2"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</row>
    <row r="463" spans="2:42" ht="12.75" x14ac:dyDescent="0.2"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</row>
    <row r="464" spans="2:42" ht="12.75" x14ac:dyDescent="0.2"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</row>
    <row r="465" spans="2:42" ht="12.75" x14ac:dyDescent="0.2"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</row>
    <row r="466" spans="2:42" ht="12.75" x14ac:dyDescent="0.2"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</row>
    <row r="467" spans="2:42" ht="12.75" x14ac:dyDescent="0.2"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</row>
    <row r="468" spans="2:42" ht="12.75" x14ac:dyDescent="0.2"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</row>
    <row r="469" spans="2:42" ht="12.75" x14ac:dyDescent="0.2"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</row>
    <row r="470" spans="2:42" ht="12.75" x14ac:dyDescent="0.2"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</row>
    <row r="471" spans="2:42" ht="12.75" x14ac:dyDescent="0.2"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</row>
    <row r="472" spans="2:42" ht="12.75" x14ac:dyDescent="0.2"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</row>
    <row r="473" spans="2:42" ht="12.75" x14ac:dyDescent="0.2"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</row>
    <row r="474" spans="2:42" ht="12.75" x14ac:dyDescent="0.2"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</row>
    <row r="475" spans="2:42" ht="12.75" x14ac:dyDescent="0.2"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</row>
    <row r="476" spans="2:42" ht="12.75" x14ac:dyDescent="0.2"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</row>
    <row r="477" spans="2:42" ht="12.75" x14ac:dyDescent="0.2"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</row>
    <row r="478" spans="2:42" ht="12.75" x14ac:dyDescent="0.2"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</row>
    <row r="479" spans="2:42" ht="12.75" x14ac:dyDescent="0.2"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</row>
    <row r="480" spans="2:42" ht="12.75" x14ac:dyDescent="0.2"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</row>
    <row r="481" spans="2:42" ht="12.75" x14ac:dyDescent="0.2"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</row>
    <row r="482" spans="2:42" ht="12.75" x14ac:dyDescent="0.2"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</row>
    <row r="483" spans="2:42" ht="12.75" x14ac:dyDescent="0.2"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</row>
    <row r="484" spans="2:42" ht="12.75" x14ac:dyDescent="0.2"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</row>
    <row r="485" spans="2:42" ht="12.75" x14ac:dyDescent="0.2"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</row>
    <row r="486" spans="2:42" ht="12.75" x14ac:dyDescent="0.2"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</row>
    <row r="487" spans="2:42" ht="12.75" x14ac:dyDescent="0.2"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</row>
    <row r="488" spans="2:42" ht="12.75" x14ac:dyDescent="0.2"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</row>
    <row r="489" spans="2:42" ht="12.75" x14ac:dyDescent="0.2"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</row>
    <row r="490" spans="2:42" ht="12.75" x14ac:dyDescent="0.2"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</row>
    <row r="491" spans="2:42" ht="12.75" x14ac:dyDescent="0.2"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</row>
    <row r="492" spans="2:42" ht="12.75" x14ac:dyDescent="0.2"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</row>
    <row r="493" spans="2:42" ht="12.75" x14ac:dyDescent="0.2"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</row>
    <row r="494" spans="2:42" ht="12.75" x14ac:dyDescent="0.2"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</row>
    <row r="495" spans="2:42" ht="12.75" x14ac:dyDescent="0.2"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</row>
    <row r="496" spans="2:42" ht="12.75" x14ac:dyDescent="0.2"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</row>
    <row r="497" spans="2:42" ht="12.75" x14ac:dyDescent="0.2"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</row>
    <row r="498" spans="2:42" ht="12.75" x14ac:dyDescent="0.2"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</row>
    <row r="499" spans="2:42" ht="12.75" x14ac:dyDescent="0.2"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</row>
    <row r="500" spans="2:42" ht="12.75" x14ac:dyDescent="0.2"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</row>
    <row r="501" spans="2:42" ht="12.75" x14ac:dyDescent="0.2"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</row>
    <row r="502" spans="2:42" ht="12.75" x14ac:dyDescent="0.2"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</row>
    <row r="503" spans="2:42" ht="12.75" x14ac:dyDescent="0.2"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</row>
    <row r="504" spans="2:42" ht="12.75" x14ac:dyDescent="0.2"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</row>
    <row r="505" spans="2:42" ht="12.75" x14ac:dyDescent="0.2"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</row>
    <row r="506" spans="2:42" ht="12.75" x14ac:dyDescent="0.2"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</row>
    <row r="507" spans="2:42" ht="12.75" x14ac:dyDescent="0.2"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</row>
    <row r="508" spans="2:42" ht="12.75" x14ac:dyDescent="0.2"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</row>
    <row r="509" spans="2:42" ht="12.75" x14ac:dyDescent="0.2"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</row>
    <row r="510" spans="2:42" ht="12.75" x14ac:dyDescent="0.2"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</row>
    <row r="511" spans="2:42" ht="12.75" x14ac:dyDescent="0.2"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</row>
    <row r="512" spans="2:42" ht="12.75" x14ac:dyDescent="0.2"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</row>
    <row r="513" spans="2:42" ht="12.75" x14ac:dyDescent="0.2"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</row>
    <row r="514" spans="2:42" ht="12.75" x14ac:dyDescent="0.2"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</row>
    <row r="515" spans="2:42" ht="12.75" x14ac:dyDescent="0.2"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</row>
    <row r="516" spans="2:42" ht="12.75" x14ac:dyDescent="0.2"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</row>
    <row r="517" spans="2:42" ht="12.75" x14ac:dyDescent="0.2"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</row>
    <row r="518" spans="2:42" ht="12.75" x14ac:dyDescent="0.2"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</row>
    <row r="519" spans="2:42" ht="12.75" x14ac:dyDescent="0.2"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</row>
    <row r="520" spans="2:42" ht="12.75" x14ac:dyDescent="0.2"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</row>
    <row r="521" spans="2:42" ht="12.75" x14ac:dyDescent="0.2"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</row>
    <row r="522" spans="2:42" ht="12.75" x14ac:dyDescent="0.2"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</row>
    <row r="523" spans="2:42" ht="12.75" x14ac:dyDescent="0.2"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</row>
    <row r="524" spans="2:42" ht="12.75" x14ac:dyDescent="0.2"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</row>
    <row r="525" spans="2:42" ht="12.75" x14ac:dyDescent="0.2"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</row>
    <row r="526" spans="2:42" ht="12.75" x14ac:dyDescent="0.2"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</row>
    <row r="527" spans="2:42" ht="12.75" x14ac:dyDescent="0.2"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</row>
    <row r="528" spans="2:42" ht="12.75" x14ac:dyDescent="0.2"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</row>
    <row r="529" spans="2:42" ht="12.75" x14ac:dyDescent="0.2"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</row>
    <row r="530" spans="2:42" ht="12.75" x14ac:dyDescent="0.2"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</row>
    <row r="531" spans="2:42" ht="12.75" x14ac:dyDescent="0.2"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</row>
    <row r="532" spans="2:42" ht="12.75" x14ac:dyDescent="0.2"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</row>
    <row r="533" spans="2:42" ht="12.75" x14ac:dyDescent="0.2"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</row>
    <row r="534" spans="2:42" ht="12.75" x14ac:dyDescent="0.2"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</row>
    <row r="535" spans="2:42" ht="12.75" x14ac:dyDescent="0.2"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</row>
    <row r="536" spans="2:42" ht="12.75" x14ac:dyDescent="0.2"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</row>
    <row r="537" spans="2:42" ht="12.75" x14ac:dyDescent="0.2"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</row>
    <row r="538" spans="2:42" ht="12.75" x14ac:dyDescent="0.2"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</row>
    <row r="539" spans="2:42" ht="12.75" x14ac:dyDescent="0.2"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</row>
    <row r="540" spans="2:42" ht="12.75" x14ac:dyDescent="0.2"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</row>
    <row r="541" spans="2:42" ht="12.75" x14ac:dyDescent="0.2"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</row>
    <row r="542" spans="2:42" ht="12.75" x14ac:dyDescent="0.2"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</row>
    <row r="543" spans="2:42" ht="12.75" x14ac:dyDescent="0.2"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</row>
    <row r="544" spans="2:42" ht="12.75" x14ac:dyDescent="0.2"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</row>
    <row r="545" spans="2:42" ht="12.75" x14ac:dyDescent="0.2"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</row>
    <row r="546" spans="2:42" ht="12.75" x14ac:dyDescent="0.2"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</row>
    <row r="547" spans="2:42" ht="12.75" x14ac:dyDescent="0.2"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</row>
    <row r="548" spans="2:42" ht="12.75" x14ac:dyDescent="0.2"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</row>
    <row r="549" spans="2:42" ht="12.75" x14ac:dyDescent="0.2"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</row>
    <row r="550" spans="2:42" ht="12.75" x14ac:dyDescent="0.2"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</row>
    <row r="551" spans="2:42" ht="12.75" x14ac:dyDescent="0.2"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</row>
    <row r="552" spans="2:42" ht="12.75" x14ac:dyDescent="0.2"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</row>
    <row r="553" spans="2:42" ht="12.75" x14ac:dyDescent="0.2"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</row>
    <row r="554" spans="2:42" ht="12.75" x14ac:dyDescent="0.2"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</row>
    <row r="555" spans="2:42" ht="12.75" x14ac:dyDescent="0.2"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</row>
    <row r="556" spans="2:42" ht="12.75" x14ac:dyDescent="0.2"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</row>
    <row r="557" spans="2:42" ht="12.75" x14ac:dyDescent="0.2"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</row>
    <row r="558" spans="2:42" ht="12.75" x14ac:dyDescent="0.2"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</row>
    <row r="559" spans="2:42" ht="12.75" x14ac:dyDescent="0.2"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</row>
    <row r="560" spans="2:42" ht="12.75" x14ac:dyDescent="0.2"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</row>
    <row r="561" spans="2:42" ht="12.75" x14ac:dyDescent="0.2"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</row>
    <row r="562" spans="2:42" ht="12.75" x14ac:dyDescent="0.2"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</row>
    <row r="563" spans="2:42" ht="12.75" x14ac:dyDescent="0.2"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</row>
    <row r="564" spans="2:42" ht="12.75" x14ac:dyDescent="0.2"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</row>
    <row r="565" spans="2:42" ht="12.75" x14ac:dyDescent="0.2"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</row>
    <row r="566" spans="2:42" ht="12.75" x14ac:dyDescent="0.2"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</row>
    <row r="567" spans="2:42" ht="12.75" x14ac:dyDescent="0.2"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</row>
    <row r="568" spans="2:42" ht="12.75" x14ac:dyDescent="0.2"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</row>
    <row r="569" spans="2:42" ht="12.75" x14ac:dyDescent="0.2"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</row>
    <row r="570" spans="2:42" ht="12.75" x14ac:dyDescent="0.2"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</row>
    <row r="571" spans="2:42" ht="12.75" x14ac:dyDescent="0.2"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</row>
    <row r="572" spans="2:42" ht="12.75" x14ac:dyDescent="0.2"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</row>
    <row r="573" spans="2:42" ht="12.75" x14ac:dyDescent="0.2"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</row>
    <row r="574" spans="2:42" ht="12.75" x14ac:dyDescent="0.2"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</row>
    <row r="575" spans="2:42" ht="12.75" x14ac:dyDescent="0.2"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</row>
    <row r="576" spans="2:42" ht="12.75" x14ac:dyDescent="0.2"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</row>
    <row r="577" spans="2:42" ht="12.75" x14ac:dyDescent="0.2"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</row>
    <row r="578" spans="2:42" ht="12.75" x14ac:dyDescent="0.2"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</row>
    <row r="579" spans="2:42" ht="12.75" x14ac:dyDescent="0.2"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</row>
    <row r="580" spans="2:42" ht="12.75" x14ac:dyDescent="0.2"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</row>
    <row r="581" spans="2:42" ht="12.75" x14ac:dyDescent="0.2"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</row>
    <row r="582" spans="2:42" ht="12.75" x14ac:dyDescent="0.2"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</row>
    <row r="583" spans="2:42" ht="12.75" x14ac:dyDescent="0.2"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</row>
    <row r="584" spans="2:42" ht="12.75" x14ac:dyDescent="0.2"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</row>
    <row r="585" spans="2:42" ht="12.75" x14ac:dyDescent="0.2"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</row>
    <row r="586" spans="2:42" ht="12.75" x14ac:dyDescent="0.2"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</row>
    <row r="587" spans="2:42" ht="12.75" x14ac:dyDescent="0.2"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</row>
    <row r="588" spans="2:42" ht="12.75" x14ac:dyDescent="0.2"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</row>
    <row r="589" spans="2:42" ht="12.75" x14ac:dyDescent="0.2"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</row>
    <row r="590" spans="2:42" ht="12.75" x14ac:dyDescent="0.2"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</row>
    <row r="591" spans="2:42" ht="12.75" x14ac:dyDescent="0.2"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</row>
    <row r="592" spans="2:42" ht="12.75" x14ac:dyDescent="0.2"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</row>
    <row r="593" spans="2:42" ht="12.75" x14ac:dyDescent="0.2"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</row>
    <row r="594" spans="2:42" ht="12.75" x14ac:dyDescent="0.2"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</row>
    <row r="595" spans="2:42" ht="12.75" x14ac:dyDescent="0.2"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</row>
    <row r="596" spans="2:42" ht="12.75" x14ac:dyDescent="0.2"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</row>
    <row r="597" spans="2:42" ht="12.75" x14ac:dyDescent="0.2"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</row>
    <row r="598" spans="2:42" ht="12.75" x14ac:dyDescent="0.2"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</row>
    <row r="599" spans="2:42" ht="12.75" x14ac:dyDescent="0.2"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</row>
    <row r="600" spans="2:42" ht="12.75" x14ac:dyDescent="0.2"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</row>
    <row r="601" spans="2:42" ht="12.75" x14ac:dyDescent="0.2"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</row>
    <row r="602" spans="2:42" ht="12.75" x14ac:dyDescent="0.2"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</row>
    <row r="603" spans="2:42" ht="12.75" x14ac:dyDescent="0.2"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</row>
    <row r="604" spans="2:42" ht="12.75" x14ac:dyDescent="0.2"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</row>
    <row r="605" spans="2:42" ht="12.75" x14ac:dyDescent="0.2"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</row>
    <row r="606" spans="2:42" ht="12.75" x14ac:dyDescent="0.2"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</row>
    <row r="607" spans="2:42" ht="12.75" x14ac:dyDescent="0.2"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</row>
    <row r="608" spans="2:42" ht="12.75" x14ac:dyDescent="0.2"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</row>
    <row r="609" spans="2:42" ht="12.75" x14ac:dyDescent="0.2"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</row>
    <row r="610" spans="2:42" ht="12.75" x14ac:dyDescent="0.2"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</row>
    <row r="611" spans="2:42" ht="12.75" x14ac:dyDescent="0.2"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</row>
    <row r="612" spans="2:42" ht="12.75" x14ac:dyDescent="0.2"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</row>
    <row r="613" spans="2:42" ht="12.75" x14ac:dyDescent="0.2"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</row>
    <row r="614" spans="2:42" ht="12.75" x14ac:dyDescent="0.2"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</row>
    <row r="615" spans="2:42" ht="12.75" x14ac:dyDescent="0.2"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</row>
    <row r="616" spans="2:42" ht="12.75" x14ac:dyDescent="0.2"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</row>
    <row r="617" spans="2:42" ht="12.75" x14ac:dyDescent="0.2"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</row>
    <row r="618" spans="2:42" ht="12.75" x14ac:dyDescent="0.2"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</row>
    <row r="619" spans="2:42" ht="12.75" x14ac:dyDescent="0.2"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</row>
    <row r="620" spans="2:42" ht="12.75" x14ac:dyDescent="0.2"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</row>
    <row r="621" spans="2:42" ht="12.75" x14ac:dyDescent="0.2"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</row>
    <row r="622" spans="2:42" ht="12.75" x14ac:dyDescent="0.2"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</row>
    <row r="623" spans="2:42" ht="12.75" x14ac:dyDescent="0.2"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</row>
    <row r="624" spans="2:42" ht="12.75" x14ac:dyDescent="0.2"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</row>
    <row r="625" spans="2:42" ht="12.75" x14ac:dyDescent="0.2"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</row>
    <row r="626" spans="2:42" ht="12.75" x14ac:dyDescent="0.2"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</row>
    <row r="627" spans="2:42" ht="12.75" x14ac:dyDescent="0.2"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</row>
    <row r="628" spans="2:42" ht="12.75" x14ac:dyDescent="0.2"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</row>
    <row r="629" spans="2:42" ht="12.75" x14ac:dyDescent="0.2"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</row>
    <row r="630" spans="2:42" ht="12.75" x14ac:dyDescent="0.2"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</row>
    <row r="631" spans="2:42" ht="12.75" x14ac:dyDescent="0.2"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</row>
    <row r="632" spans="2:42" ht="12.75" x14ac:dyDescent="0.2"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</row>
    <row r="633" spans="2:42" ht="12.75" x14ac:dyDescent="0.2"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</row>
    <row r="634" spans="2:42" ht="12.75" x14ac:dyDescent="0.2"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</row>
    <row r="635" spans="2:42" ht="12.75" x14ac:dyDescent="0.2"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</row>
    <row r="636" spans="2:42" ht="12.75" x14ac:dyDescent="0.2"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</row>
    <row r="637" spans="2:42" ht="12.75" x14ac:dyDescent="0.2"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</row>
    <row r="638" spans="2:42" ht="12.75" x14ac:dyDescent="0.2"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</row>
    <row r="639" spans="2:42" ht="12.75" x14ac:dyDescent="0.2"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</row>
    <row r="640" spans="2:42" ht="12.75" x14ac:dyDescent="0.2"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</row>
    <row r="641" spans="2:42" ht="12.75" x14ac:dyDescent="0.2"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</row>
    <row r="642" spans="2:42" ht="12.75" x14ac:dyDescent="0.2"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</row>
    <row r="643" spans="2:42" ht="12.75" x14ac:dyDescent="0.2"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</row>
    <row r="644" spans="2:42" ht="12.75" x14ac:dyDescent="0.2"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</row>
    <row r="645" spans="2:42" ht="12.75" x14ac:dyDescent="0.2"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</row>
    <row r="646" spans="2:42" ht="12.75" x14ac:dyDescent="0.2"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</row>
    <row r="647" spans="2:42" ht="12.75" x14ac:dyDescent="0.2"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</row>
    <row r="648" spans="2:42" ht="12.75" x14ac:dyDescent="0.2"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</row>
    <row r="649" spans="2:42" ht="12.75" x14ac:dyDescent="0.2"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</row>
    <row r="650" spans="2:42" ht="12.75" x14ac:dyDescent="0.2"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</row>
    <row r="651" spans="2:42" ht="12.75" x14ac:dyDescent="0.2"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</row>
    <row r="652" spans="2:42" ht="12.75" x14ac:dyDescent="0.2"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</row>
    <row r="653" spans="2:42" ht="12.75" x14ac:dyDescent="0.2"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</row>
    <row r="654" spans="2:42" ht="12.75" x14ac:dyDescent="0.2"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</row>
    <row r="655" spans="2:42" ht="12.75" x14ac:dyDescent="0.2"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</row>
    <row r="656" spans="2:42" ht="12.75" x14ac:dyDescent="0.2"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</row>
    <row r="657" spans="2:42" ht="12.75" x14ac:dyDescent="0.2"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</row>
    <row r="658" spans="2:42" ht="12.75" x14ac:dyDescent="0.2"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</row>
    <row r="659" spans="2:42" ht="12.75" x14ac:dyDescent="0.2"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</row>
    <row r="660" spans="2:42" ht="12.75" x14ac:dyDescent="0.2"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</row>
    <row r="661" spans="2:42" ht="12.75" x14ac:dyDescent="0.2"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</row>
    <row r="662" spans="2:42" ht="12.75" x14ac:dyDescent="0.2"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</row>
    <row r="663" spans="2:42" ht="12.75" x14ac:dyDescent="0.2"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</row>
    <row r="664" spans="2:42" ht="12.75" x14ac:dyDescent="0.2"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</row>
    <row r="665" spans="2:42" ht="12.75" x14ac:dyDescent="0.2"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</row>
    <row r="666" spans="2:42" ht="12.75" x14ac:dyDescent="0.2"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</row>
    <row r="667" spans="2:42" ht="12.75" x14ac:dyDescent="0.2"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</row>
    <row r="668" spans="2:42" ht="12.75" x14ac:dyDescent="0.2"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</row>
    <row r="669" spans="2:42" ht="12.75" x14ac:dyDescent="0.2"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</row>
    <row r="670" spans="2:42" ht="12.75" x14ac:dyDescent="0.2"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</row>
    <row r="671" spans="2:42" ht="12.75" x14ac:dyDescent="0.2"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</row>
    <row r="672" spans="2:42" ht="12.75" x14ac:dyDescent="0.2"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</row>
    <row r="673" spans="2:42" ht="12.75" x14ac:dyDescent="0.2"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</row>
    <row r="674" spans="2:42" ht="12.75" x14ac:dyDescent="0.2"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</row>
    <row r="675" spans="2:42" ht="12.75" x14ac:dyDescent="0.2"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</row>
    <row r="676" spans="2:42" ht="12.75" x14ac:dyDescent="0.2"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</row>
    <row r="677" spans="2:42" ht="12.75" x14ac:dyDescent="0.2"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</row>
    <row r="678" spans="2:42" ht="12.75" x14ac:dyDescent="0.2"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</row>
    <row r="679" spans="2:42" ht="12.75" x14ac:dyDescent="0.2"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</row>
    <row r="680" spans="2:42" ht="12.75" x14ac:dyDescent="0.2"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</row>
    <row r="681" spans="2:42" ht="12.75" x14ac:dyDescent="0.2"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</row>
    <row r="682" spans="2:42" ht="12.75" x14ac:dyDescent="0.2"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</row>
    <row r="683" spans="2:42" ht="12.75" x14ac:dyDescent="0.2"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</row>
    <row r="684" spans="2:42" ht="12.75" x14ac:dyDescent="0.2"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</row>
    <row r="685" spans="2:42" ht="12.75" x14ac:dyDescent="0.2"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</row>
    <row r="686" spans="2:42" ht="12.75" x14ac:dyDescent="0.2"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</row>
    <row r="687" spans="2:42" ht="12.75" x14ac:dyDescent="0.2"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</row>
    <row r="688" spans="2:42" ht="12.75" x14ac:dyDescent="0.2"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</row>
    <row r="689" spans="2:42" ht="12.75" x14ac:dyDescent="0.2"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</row>
    <row r="690" spans="2:42" ht="12.75" x14ac:dyDescent="0.2"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</row>
    <row r="691" spans="2:42" ht="12.75" x14ac:dyDescent="0.2"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</row>
    <row r="692" spans="2:42" ht="12.75" x14ac:dyDescent="0.2"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</row>
    <row r="693" spans="2:42" ht="12.75" x14ac:dyDescent="0.2"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</row>
    <row r="694" spans="2:42" ht="12.75" x14ac:dyDescent="0.2"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</row>
    <row r="695" spans="2:42" ht="12.75" x14ac:dyDescent="0.2"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</row>
    <row r="696" spans="2:42" ht="12.75" x14ac:dyDescent="0.2"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</row>
    <row r="697" spans="2:42" ht="12.75" x14ac:dyDescent="0.2"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</row>
    <row r="698" spans="2:42" ht="12.75" x14ac:dyDescent="0.2"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</row>
    <row r="699" spans="2:42" ht="12.75" x14ac:dyDescent="0.2"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</row>
    <row r="700" spans="2:42" ht="12.75" x14ac:dyDescent="0.2"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</row>
    <row r="701" spans="2:42" ht="12.75" x14ac:dyDescent="0.2"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</row>
    <row r="702" spans="2:42" ht="12.75" x14ac:dyDescent="0.2"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</row>
    <row r="703" spans="2:42" ht="12.75" x14ac:dyDescent="0.2"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</row>
    <row r="704" spans="2:42" ht="12.75" x14ac:dyDescent="0.2"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</row>
    <row r="705" spans="2:42" ht="12.75" x14ac:dyDescent="0.2"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</row>
    <row r="706" spans="2:42" ht="12.75" x14ac:dyDescent="0.2"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</row>
    <row r="707" spans="2:42" ht="12.75" x14ac:dyDescent="0.2"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</row>
    <row r="708" spans="2:42" ht="12.75" x14ac:dyDescent="0.2"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</row>
    <row r="709" spans="2:42" ht="12.75" x14ac:dyDescent="0.2"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</row>
    <row r="710" spans="2:42" ht="12.75" x14ac:dyDescent="0.2"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</row>
    <row r="711" spans="2:42" ht="12.75" x14ac:dyDescent="0.2"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</row>
    <row r="712" spans="2:42" ht="12.75" x14ac:dyDescent="0.2"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</row>
    <row r="713" spans="2:42" ht="12.75" x14ac:dyDescent="0.2"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</row>
    <row r="714" spans="2:42" ht="12.75" x14ac:dyDescent="0.2"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</row>
    <row r="715" spans="2:42" ht="12.75" x14ac:dyDescent="0.2"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</row>
    <row r="716" spans="2:42" ht="12.75" x14ac:dyDescent="0.2"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</row>
    <row r="717" spans="2:42" ht="12.75" x14ac:dyDescent="0.2"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</row>
    <row r="718" spans="2:42" ht="12.75" x14ac:dyDescent="0.2"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</row>
    <row r="719" spans="2:42" ht="12.75" x14ac:dyDescent="0.2"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</row>
    <row r="720" spans="2:42" ht="12.75" x14ac:dyDescent="0.2"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</row>
    <row r="721" spans="2:42" ht="12.75" x14ac:dyDescent="0.2"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</row>
    <row r="722" spans="2:42" ht="12.75" x14ac:dyDescent="0.2"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</row>
    <row r="723" spans="2:42" ht="12.75" x14ac:dyDescent="0.2"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</row>
    <row r="724" spans="2:42" ht="12.75" x14ac:dyDescent="0.2"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</row>
    <row r="725" spans="2:42" ht="12.75" x14ac:dyDescent="0.2"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</row>
    <row r="726" spans="2:42" ht="12.75" x14ac:dyDescent="0.2"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</row>
    <row r="727" spans="2:42" ht="12.75" x14ac:dyDescent="0.2"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</row>
    <row r="728" spans="2:42" ht="12.75" x14ac:dyDescent="0.2"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</row>
    <row r="729" spans="2:42" ht="12.75" x14ac:dyDescent="0.2"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</row>
    <row r="730" spans="2:42" ht="12.75" x14ac:dyDescent="0.2"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</row>
    <row r="731" spans="2:42" ht="12.75" x14ac:dyDescent="0.2"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</row>
    <row r="732" spans="2:42" ht="12.75" x14ac:dyDescent="0.2"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</row>
    <row r="733" spans="2:42" ht="12.75" x14ac:dyDescent="0.2"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</row>
    <row r="734" spans="2:42" ht="12.75" x14ac:dyDescent="0.2"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</row>
    <row r="735" spans="2:42" ht="12.75" x14ac:dyDescent="0.2"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</row>
    <row r="736" spans="2:42" ht="12.75" x14ac:dyDescent="0.2"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</row>
    <row r="737" spans="2:42" ht="12.75" x14ac:dyDescent="0.2"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</row>
    <row r="738" spans="2:42" ht="12.75" x14ac:dyDescent="0.2"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</row>
    <row r="739" spans="2:42" ht="12.75" x14ac:dyDescent="0.2"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</row>
    <row r="740" spans="2:42" ht="12.75" x14ac:dyDescent="0.2"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</row>
    <row r="741" spans="2:42" ht="12.75" x14ac:dyDescent="0.2"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</row>
    <row r="742" spans="2:42" ht="12.75" x14ac:dyDescent="0.2"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</row>
    <row r="743" spans="2:42" ht="12.75" x14ac:dyDescent="0.2"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</row>
    <row r="744" spans="2:42" ht="12.75" x14ac:dyDescent="0.2"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</row>
    <row r="745" spans="2:42" ht="12.75" x14ac:dyDescent="0.2"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</row>
    <row r="746" spans="2:42" ht="12.75" x14ac:dyDescent="0.2"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</row>
    <row r="747" spans="2:42" ht="12.75" x14ac:dyDescent="0.2"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</row>
    <row r="748" spans="2:42" ht="12.75" x14ac:dyDescent="0.2"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</row>
    <row r="749" spans="2:42" ht="12.75" x14ac:dyDescent="0.2"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</row>
    <row r="750" spans="2:42" ht="12.75" x14ac:dyDescent="0.2"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</row>
    <row r="751" spans="2:42" ht="12.75" x14ac:dyDescent="0.2"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</row>
    <row r="752" spans="2:42" ht="12.75" x14ac:dyDescent="0.2"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</row>
    <row r="753" spans="2:42" ht="12.75" x14ac:dyDescent="0.2"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</row>
    <row r="754" spans="2:42" ht="12.75" x14ac:dyDescent="0.2"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</row>
    <row r="755" spans="2:42" ht="12.75" x14ac:dyDescent="0.2"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</row>
    <row r="756" spans="2:42" ht="12.75" x14ac:dyDescent="0.2"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</row>
    <row r="757" spans="2:42" ht="12.75" x14ac:dyDescent="0.2"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</row>
    <row r="758" spans="2:42" ht="12.75" x14ac:dyDescent="0.2"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</row>
    <row r="759" spans="2:42" ht="12.75" x14ac:dyDescent="0.2"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</row>
    <row r="760" spans="2:42" ht="12.75" x14ac:dyDescent="0.2"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</row>
    <row r="761" spans="2:42" ht="12.75" x14ac:dyDescent="0.2"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</row>
    <row r="762" spans="2:42" ht="12.75" x14ac:dyDescent="0.2"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</row>
    <row r="763" spans="2:42" ht="12.75" x14ac:dyDescent="0.2"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</row>
    <row r="764" spans="2:42" ht="12.75" x14ac:dyDescent="0.2"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</row>
    <row r="765" spans="2:42" ht="12.75" x14ac:dyDescent="0.2"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</row>
    <row r="766" spans="2:42" ht="12.75" x14ac:dyDescent="0.2"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</row>
    <row r="767" spans="2:42" ht="12.75" x14ac:dyDescent="0.2"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</row>
    <row r="768" spans="2:42" ht="12.75" x14ac:dyDescent="0.2"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</row>
    <row r="769" spans="2:42" ht="12.75" x14ac:dyDescent="0.2"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</row>
    <row r="770" spans="2:42" ht="12.75" x14ac:dyDescent="0.2"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</row>
    <row r="771" spans="2:42" ht="12.75" x14ac:dyDescent="0.2"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</row>
    <row r="772" spans="2:42" ht="12.75" x14ac:dyDescent="0.2"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</row>
    <row r="773" spans="2:42" ht="12.75" x14ac:dyDescent="0.2"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</row>
    <row r="774" spans="2:42" ht="12.75" x14ac:dyDescent="0.2"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</row>
    <row r="775" spans="2:42" ht="12.75" x14ac:dyDescent="0.2"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</row>
    <row r="776" spans="2:42" ht="12.75" x14ac:dyDescent="0.2"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</row>
    <row r="777" spans="2:42" ht="12.75" x14ac:dyDescent="0.2"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</row>
    <row r="778" spans="2:42" ht="12.75" x14ac:dyDescent="0.2"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</row>
    <row r="779" spans="2:42" ht="12.75" x14ac:dyDescent="0.2"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</row>
    <row r="780" spans="2:42" ht="12.75" x14ac:dyDescent="0.2"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</row>
    <row r="781" spans="2:42" ht="12.75" x14ac:dyDescent="0.2"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</row>
    <row r="782" spans="2:42" ht="12.75" x14ac:dyDescent="0.2"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</row>
    <row r="783" spans="2:42" ht="12.75" x14ac:dyDescent="0.2"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</row>
    <row r="784" spans="2:42" ht="12.75" x14ac:dyDescent="0.2"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</row>
    <row r="785" spans="2:42" ht="12.75" x14ac:dyDescent="0.2"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</row>
    <row r="786" spans="2:42" ht="12.75" x14ac:dyDescent="0.2"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</row>
    <row r="787" spans="2:42" ht="12.75" x14ac:dyDescent="0.2"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</row>
    <row r="788" spans="2:42" ht="12.75" x14ac:dyDescent="0.2"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</row>
    <row r="789" spans="2:42" ht="12.75" x14ac:dyDescent="0.2"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</row>
    <row r="790" spans="2:42" ht="12.75" x14ac:dyDescent="0.2"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</row>
    <row r="791" spans="2:42" ht="12.75" x14ac:dyDescent="0.2"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</row>
    <row r="792" spans="2:42" ht="12.75" x14ac:dyDescent="0.2"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</row>
    <row r="793" spans="2:42" ht="12.75" x14ac:dyDescent="0.2"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</row>
    <row r="794" spans="2:42" ht="12.75" x14ac:dyDescent="0.2"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</row>
    <row r="795" spans="2:42" ht="12.75" x14ac:dyDescent="0.2"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</row>
    <row r="796" spans="2:42" ht="12.75" x14ac:dyDescent="0.2"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</row>
    <row r="797" spans="2:42" ht="12.75" x14ac:dyDescent="0.2"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</row>
    <row r="798" spans="2:42" ht="12.75" x14ac:dyDescent="0.2"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</row>
    <row r="799" spans="2:42" ht="12.75" x14ac:dyDescent="0.2"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</row>
    <row r="800" spans="2:42" ht="12.75" x14ac:dyDescent="0.2"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</row>
    <row r="801" spans="2:42" ht="12.75" x14ac:dyDescent="0.2"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</row>
    <row r="802" spans="2:42" ht="12.75" x14ac:dyDescent="0.2"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</row>
    <row r="803" spans="2:42" ht="12.75" x14ac:dyDescent="0.2"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</row>
    <row r="804" spans="2:42" ht="12.75" x14ac:dyDescent="0.2"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</row>
    <row r="805" spans="2:42" ht="12.75" x14ac:dyDescent="0.2"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</row>
    <row r="806" spans="2:42" ht="12.75" x14ac:dyDescent="0.2"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</row>
    <row r="807" spans="2:42" ht="12.75" x14ac:dyDescent="0.2"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</row>
    <row r="808" spans="2:42" ht="12.75" x14ac:dyDescent="0.2"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</row>
    <row r="809" spans="2:42" ht="12.75" x14ac:dyDescent="0.2"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</row>
    <row r="810" spans="2:42" ht="12.75" x14ac:dyDescent="0.2"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</row>
    <row r="811" spans="2:42" ht="12.75" x14ac:dyDescent="0.2"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</row>
    <row r="812" spans="2:42" ht="12.75" x14ac:dyDescent="0.2"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</row>
    <row r="813" spans="2:42" ht="12.75" x14ac:dyDescent="0.2"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</row>
    <row r="814" spans="2:42" ht="12.75" x14ac:dyDescent="0.2"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</row>
    <row r="815" spans="2:42" ht="12.75" x14ac:dyDescent="0.2"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</row>
    <row r="816" spans="2:42" ht="12.75" x14ac:dyDescent="0.2"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</row>
    <row r="817" spans="2:42" ht="12.75" x14ac:dyDescent="0.2"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</row>
    <row r="818" spans="2:42" ht="12.75" x14ac:dyDescent="0.2"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</row>
    <row r="819" spans="2:42" ht="12.75" x14ac:dyDescent="0.2"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</row>
    <row r="820" spans="2:42" ht="12.75" x14ac:dyDescent="0.2"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</row>
    <row r="821" spans="2:42" ht="12.75" x14ac:dyDescent="0.2"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</row>
    <row r="822" spans="2:42" ht="12.75" x14ac:dyDescent="0.2"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</row>
    <row r="823" spans="2:42" ht="12.75" x14ac:dyDescent="0.2"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</row>
    <row r="824" spans="2:42" ht="12.75" x14ac:dyDescent="0.2"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</row>
    <row r="825" spans="2:42" ht="12.75" x14ac:dyDescent="0.2"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</row>
    <row r="826" spans="2:42" ht="12.75" x14ac:dyDescent="0.2"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</row>
    <row r="827" spans="2:42" ht="12.75" x14ac:dyDescent="0.2"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</row>
    <row r="828" spans="2:42" ht="12.75" x14ac:dyDescent="0.2"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</row>
    <row r="829" spans="2:42" ht="12.75" x14ac:dyDescent="0.2"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</row>
    <row r="830" spans="2:42" ht="12.75" x14ac:dyDescent="0.2"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</row>
    <row r="831" spans="2:42" ht="12.75" x14ac:dyDescent="0.2"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</row>
    <row r="832" spans="2:42" ht="12.75" x14ac:dyDescent="0.2"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</row>
    <row r="833" spans="2:42" ht="12.75" x14ac:dyDescent="0.2"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</row>
    <row r="834" spans="2:42" ht="12.75" x14ac:dyDescent="0.2"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</row>
    <row r="835" spans="2:42" ht="12.75" x14ac:dyDescent="0.2"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</row>
    <row r="836" spans="2:42" ht="12.75" x14ac:dyDescent="0.2"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</row>
    <row r="837" spans="2:42" ht="12.75" x14ac:dyDescent="0.2"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</row>
    <row r="838" spans="2:42" ht="12.75" x14ac:dyDescent="0.2"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</row>
    <row r="839" spans="2:42" ht="12.75" x14ac:dyDescent="0.2"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</row>
    <row r="840" spans="2:42" ht="12.75" x14ac:dyDescent="0.2"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</row>
    <row r="841" spans="2:42" ht="12.75" x14ac:dyDescent="0.2"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</row>
    <row r="842" spans="2:42" ht="12.75" x14ac:dyDescent="0.2"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</row>
    <row r="843" spans="2:42" ht="12.75" x14ac:dyDescent="0.2"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</row>
    <row r="844" spans="2:42" ht="12.75" x14ac:dyDescent="0.2"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</row>
    <row r="845" spans="2:42" ht="12.75" x14ac:dyDescent="0.2"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</row>
    <row r="846" spans="2:42" ht="12.75" x14ac:dyDescent="0.2"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</row>
    <row r="847" spans="2:42" ht="12.75" x14ac:dyDescent="0.2"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</row>
    <row r="848" spans="2:42" ht="12.75" x14ac:dyDescent="0.2"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</row>
    <row r="849" spans="2:42" ht="12.75" x14ac:dyDescent="0.2"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</row>
    <row r="850" spans="2:42" ht="12.75" x14ac:dyDescent="0.2"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</row>
    <row r="851" spans="2:42" ht="12.75" x14ac:dyDescent="0.2"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</row>
    <row r="852" spans="2:42" ht="12.75" x14ac:dyDescent="0.2"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</row>
    <row r="853" spans="2:42" ht="12.75" x14ac:dyDescent="0.2"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</row>
    <row r="854" spans="2:42" ht="12.75" x14ac:dyDescent="0.2"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</row>
    <row r="855" spans="2:42" ht="12.75" x14ac:dyDescent="0.2"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</row>
    <row r="856" spans="2:42" ht="12.75" x14ac:dyDescent="0.2"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</row>
    <row r="857" spans="2:42" ht="12.75" x14ac:dyDescent="0.2"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</row>
    <row r="858" spans="2:42" ht="12.75" x14ac:dyDescent="0.2"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</row>
    <row r="859" spans="2:42" ht="12.75" x14ac:dyDescent="0.2"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</row>
    <row r="860" spans="2:42" ht="12.75" x14ac:dyDescent="0.2"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</row>
    <row r="861" spans="2:42" ht="12.75" x14ac:dyDescent="0.2"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</row>
    <row r="862" spans="2:42" ht="12.75" x14ac:dyDescent="0.2"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</row>
    <row r="863" spans="2:42" ht="12.75" x14ac:dyDescent="0.2"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</row>
    <row r="864" spans="2:42" ht="12.75" x14ac:dyDescent="0.2"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</row>
    <row r="865" spans="2:42" ht="12.75" x14ac:dyDescent="0.2"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</row>
    <row r="866" spans="2:42" ht="12.75" x14ac:dyDescent="0.2"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</row>
    <row r="867" spans="2:42" ht="12.75" x14ac:dyDescent="0.2"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</row>
    <row r="868" spans="2:42" ht="12.75" x14ac:dyDescent="0.2"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</row>
    <row r="869" spans="2:42" ht="12.75" x14ac:dyDescent="0.2"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</row>
    <row r="870" spans="2:42" ht="12.75" x14ac:dyDescent="0.2"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</row>
    <row r="871" spans="2:42" ht="12.75" x14ac:dyDescent="0.2"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</row>
    <row r="872" spans="2:42" ht="12.75" x14ac:dyDescent="0.2"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</row>
    <row r="873" spans="2:42" ht="12.75" x14ac:dyDescent="0.2"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</row>
    <row r="874" spans="2:42" ht="12.75" x14ac:dyDescent="0.2"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</row>
    <row r="875" spans="2:42" ht="12.75" x14ac:dyDescent="0.2"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</row>
    <row r="876" spans="2:42" ht="12.75" x14ac:dyDescent="0.2"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</row>
    <row r="877" spans="2:42" ht="12.75" x14ac:dyDescent="0.2"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</row>
    <row r="878" spans="2:42" ht="12.75" x14ac:dyDescent="0.2"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</row>
    <row r="879" spans="2:42" ht="12.75" x14ac:dyDescent="0.2"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</row>
    <row r="880" spans="2:42" ht="12.75" x14ac:dyDescent="0.2"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</row>
    <row r="881" spans="2:42" ht="12.75" x14ac:dyDescent="0.2"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</row>
    <row r="882" spans="2:42" ht="12.75" x14ac:dyDescent="0.2"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</row>
    <row r="883" spans="2:42" ht="12.75" x14ac:dyDescent="0.2"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</row>
    <row r="884" spans="2:42" ht="12.75" x14ac:dyDescent="0.2"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</row>
    <row r="885" spans="2:42" ht="12.75" x14ac:dyDescent="0.2"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</row>
    <row r="886" spans="2:42" ht="12.75" x14ac:dyDescent="0.2"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</row>
    <row r="887" spans="2:42" ht="12.75" x14ac:dyDescent="0.2"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</row>
    <row r="888" spans="2:42" ht="12.75" x14ac:dyDescent="0.2"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</row>
    <row r="889" spans="2:42" ht="12.75" x14ac:dyDescent="0.2"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</row>
    <row r="890" spans="2:42" ht="12.75" x14ac:dyDescent="0.2"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</row>
    <row r="891" spans="2:42" ht="12.75" x14ac:dyDescent="0.2"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</row>
    <row r="892" spans="2:42" ht="12.75" x14ac:dyDescent="0.2"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</row>
    <row r="893" spans="2:42" ht="12.75" x14ac:dyDescent="0.2"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</row>
    <row r="894" spans="2:42" ht="12.75" x14ac:dyDescent="0.2"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</row>
    <row r="895" spans="2:42" ht="12.75" x14ac:dyDescent="0.2"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</row>
    <row r="896" spans="2:42" ht="12.75" x14ac:dyDescent="0.2"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</row>
    <row r="897" spans="2:42" ht="12.75" x14ac:dyDescent="0.2"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</row>
    <row r="898" spans="2:42" ht="12.75" x14ac:dyDescent="0.2"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</row>
    <row r="899" spans="2:42" ht="12.75" x14ac:dyDescent="0.2"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</row>
    <row r="900" spans="2:42" ht="12.75" x14ac:dyDescent="0.2"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7"/>
      <c r="W900" s="37"/>
      <c r="X900" s="37"/>
      <c r="Y900" s="37"/>
      <c r="Z900" s="37"/>
      <c r="AA900" s="37"/>
      <c r="AB900" s="37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</row>
    <row r="901" spans="2:42" ht="12.75" x14ac:dyDescent="0.2"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7"/>
      <c r="W901" s="37"/>
      <c r="X901" s="37"/>
      <c r="Y901" s="37"/>
      <c r="Z901" s="37"/>
      <c r="AA901" s="37"/>
      <c r="AB901" s="37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</row>
    <row r="902" spans="2:42" ht="12.75" x14ac:dyDescent="0.2"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7"/>
      <c r="W902" s="37"/>
      <c r="X902" s="37"/>
      <c r="Y902" s="37"/>
      <c r="Z902" s="37"/>
      <c r="AA902" s="37"/>
      <c r="AB902" s="37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</row>
    <row r="903" spans="2:42" ht="12.75" x14ac:dyDescent="0.2"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7"/>
      <c r="W903" s="37"/>
      <c r="X903" s="37"/>
      <c r="Y903" s="37"/>
      <c r="Z903" s="37"/>
      <c r="AA903" s="37"/>
      <c r="AB903" s="37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</row>
    <row r="904" spans="2:42" ht="12.75" x14ac:dyDescent="0.2"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7"/>
      <c r="W904" s="37"/>
      <c r="X904" s="37"/>
      <c r="Y904" s="37"/>
      <c r="Z904" s="37"/>
      <c r="AA904" s="37"/>
      <c r="AB904" s="37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</row>
    <row r="905" spans="2:42" ht="12.75" x14ac:dyDescent="0.2"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7"/>
      <c r="W905" s="37"/>
      <c r="X905" s="37"/>
      <c r="Y905" s="37"/>
      <c r="Z905" s="37"/>
      <c r="AA905" s="37"/>
      <c r="AB905" s="37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</row>
    <row r="906" spans="2:42" ht="12.75" x14ac:dyDescent="0.2"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7"/>
      <c r="W906" s="37"/>
      <c r="X906" s="37"/>
      <c r="Y906" s="37"/>
      <c r="Z906" s="37"/>
      <c r="AA906" s="37"/>
      <c r="AB906" s="37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</row>
    <row r="907" spans="2:42" ht="12.75" x14ac:dyDescent="0.2"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7"/>
      <c r="W907" s="37"/>
      <c r="X907" s="37"/>
      <c r="Y907" s="37"/>
      <c r="Z907" s="37"/>
      <c r="AA907" s="37"/>
      <c r="AB907" s="37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</row>
    <row r="908" spans="2:42" ht="12.75" x14ac:dyDescent="0.2"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7"/>
      <c r="W908" s="37"/>
      <c r="X908" s="37"/>
      <c r="Y908" s="37"/>
      <c r="Z908" s="37"/>
      <c r="AA908" s="37"/>
      <c r="AB908" s="37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</row>
    <row r="909" spans="2:42" ht="12.75" x14ac:dyDescent="0.2"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7"/>
      <c r="W909" s="37"/>
      <c r="X909" s="37"/>
      <c r="Y909" s="37"/>
      <c r="Z909" s="37"/>
      <c r="AA909" s="37"/>
      <c r="AB909" s="37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</row>
    <row r="910" spans="2:42" ht="12.75" x14ac:dyDescent="0.2"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7"/>
      <c r="W910" s="37"/>
      <c r="X910" s="37"/>
      <c r="Y910" s="37"/>
      <c r="Z910" s="37"/>
      <c r="AA910" s="37"/>
      <c r="AB910" s="37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</row>
    <row r="911" spans="2:42" ht="12.75" x14ac:dyDescent="0.2"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7"/>
      <c r="W911" s="37"/>
      <c r="X911" s="37"/>
      <c r="Y911" s="37"/>
      <c r="Z911" s="37"/>
      <c r="AA911" s="37"/>
      <c r="AB911" s="37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</row>
    <row r="912" spans="2:42" ht="12.75" x14ac:dyDescent="0.2"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7"/>
      <c r="W912" s="37"/>
      <c r="X912" s="37"/>
      <c r="Y912" s="37"/>
      <c r="Z912" s="37"/>
      <c r="AA912" s="37"/>
      <c r="AB912" s="37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</row>
    <row r="913" spans="2:42" ht="12.75" x14ac:dyDescent="0.2"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7"/>
      <c r="W913" s="37"/>
      <c r="X913" s="37"/>
      <c r="Y913" s="37"/>
      <c r="Z913" s="37"/>
      <c r="AA913" s="37"/>
      <c r="AB913" s="37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</row>
    <row r="914" spans="2:42" ht="12.75" x14ac:dyDescent="0.2"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7"/>
      <c r="W914" s="37"/>
      <c r="X914" s="37"/>
      <c r="Y914" s="37"/>
      <c r="Z914" s="37"/>
      <c r="AA914" s="37"/>
      <c r="AB914" s="37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</row>
    <row r="915" spans="2:42" ht="12.75" x14ac:dyDescent="0.2"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7"/>
      <c r="W915" s="37"/>
      <c r="X915" s="37"/>
      <c r="Y915" s="37"/>
      <c r="Z915" s="37"/>
      <c r="AA915" s="37"/>
      <c r="AB915" s="37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</row>
    <row r="916" spans="2:42" ht="12.75" x14ac:dyDescent="0.2"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7"/>
      <c r="W916" s="37"/>
      <c r="X916" s="37"/>
      <c r="Y916" s="37"/>
      <c r="Z916" s="37"/>
      <c r="AA916" s="37"/>
      <c r="AB916" s="37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</row>
    <row r="917" spans="2:42" ht="12.75" x14ac:dyDescent="0.2"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7"/>
      <c r="W917" s="37"/>
      <c r="X917" s="37"/>
      <c r="Y917" s="37"/>
      <c r="Z917" s="37"/>
      <c r="AA917" s="37"/>
      <c r="AB917" s="37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</row>
    <row r="918" spans="2:42" ht="12.75" x14ac:dyDescent="0.2"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7"/>
      <c r="W918" s="37"/>
      <c r="X918" s="37"/>
      <c r="Y918" s="37"/>
      <c r="Z918" s="37"/>
      <c r="AA918" s="37"/>
      <c r="AB918" s="37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</row>
    <row r="919" spans="2:42" ht="12.75" x14ac:dyDescent="0.2"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7"/>
      <c r="W919" s="37"/>
      <c r="X919" s="37"/>
      <c r="Y919" s="37"/>
      <c r="Z919" s="37"/>
      <c r="AA919" s="37"/>
      <c r="AB919" s="37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</row>
    <row r="920" spans="2:42" ht="12.75" x14ac:dyDescent="0.2"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7"/>
      <c r="W920" s="37"/>
      <c r="X920" s="37"/>
      <c r="Y920" s="37"/>
      <c r="Z920" s="37"/>
      <c r="AA920" s="37"/>
      <c r="AB920" s="37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</row>
    <row r="921" spans="2:42" ht="12.75" x14ac:dyDescent="0.2"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7"/>
      <c r="W921" s="37"/>
      <c r="X921" s="37"/>
      <c r="Y921" s="37"/>
      <c r="Z921" s="37"/>
      <c r="AA921" s="37"/>
      <c r="AB921" s="37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</row>
    <row r="922" spans="2:42" ht="12.75" x14ac:dyDescent="0.2"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7"/>
      <c r="W922" s="37"/>
      <c r="X922" s="37"/>
      <c r="Y922" s="37"/>
      <c r="Z922" s="37"/>
      <c r="AA922" s="37"/>
      <c r="AB922" s="37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</row>
    <row r="923" spans="2:42" ht="12.75" x14ac:dyDescent="0.2"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7"/>
      <c r="W923" s="37"/>
      <c r="X923" s="37"/>
      <c r="Y923" s="37"/>
      <c r="Z923" s="37"/>
      <c r="AA923" s="37"/>
      <c r="AB923" s="37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</row>
    <row r="924" spans="2:42" ht="12.75" x14ac:dyDescent="0.2"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7"/>
      <c r="W924" s="37"/>
      <c r="X924" s="37"/>
      <c r="Y924" s="37"/>
      <c r="Z924" s="37"/>
      <c r="AA924" s="37"/>
      <c r="AB924" s="37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</row>
    <row r="925" spans="2:42" ht="12.75" x14ac:dyDescent="0.2"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7"/>
      <c r="W925" s="37"/>
      <c r="X925" s="37"/>
      <c r="Y925" s="37"/>
      <c r="Z925" s="37"/>
      <c r="AA925" s="37"/>
      <c r="AB925" s="37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</row>
    <row r="926" spans="2:42" ht="12.75" x14ac:dyDescent="0.2"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7"/>
      <c r="W926" s="37"/>
      <c r="X926" s="37"/>
      <c r="Y926" s="37"/>
      <c r="Z926" s="37"/>
      <c r="AA926" s="37"/>
      <c r="AB926" s="37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</row>
    <row r="927" spans="2:42" ht="12.75" x14ac:dyDescent="0.2"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7"/>
      <c r="W927" s="37"/>
      <c r="X927" s="37"/>
      <c r="Y927" s="37"/>
      <c r="Z927" s="37"/>
      <c r="AA927" s="37"/>
      <c r="AB927" s="37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</row>
    <row r="928" spans="2:42" ht="12.75" x14ac:dyDescent="0.2"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7"/>
      <c r="W928" s="37"/>
      <c r="X928" s="37"/>
      <c r="Y928" s="37"/>
      <c r="Z928" s="37"/>
      <c r="AA928" s="37"/>
      <c r="AB928" s="37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</row>
    <row r="929" spans="2:42" ht="12.75" x14ac:dyDescent="0.2"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7"/>
      <c r="W929" s="37"/>
      <c r="X929" s="37"/>
      <c r="Y929" s="37"/>
      <c r="Z929" s="37"/>
      <c r="AA929" s="37"/>
      <c r="AB929" s="37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</row>
    <row r="930" spans="2:42" ht="12.75" x14ac:dyDescent="0.2"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7"/>
      <c r="W930" s="37"/>
      <c r="X930" s="37"/>
      <c r="Y930" s="37"/>
      <c r="Z930" s="37"/>
      <c r="AA930" s="37"/>
      <c r="AB930" s="37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</row>
    <row r="931" spans="2:42" ht="12.75" x14ac:dyDescent="0.2"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7"/>
      <c r="W931" s="37"/>
      <c r="X931" s="37"/>
      <c r="Y931" s="37"/>
      <c r="Z931" s="37"/>
      <c r="AA931" s="37"/>
      <c r="AB931" s="37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</row>
    <row r="932" spans="2:42" ht="12.75" x14ac:dyDescent="0.2"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7"/>
      <c r="W932" s="37"/>
      <c r="X932" s="37"/>
      <c r="Y932" s="37"/>
      <c r="Z932" s="37"/>
      <c r="AA932" s="37"/>
      <c r="AB932" s="37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</row>
    <row r="933" spans="2:42" ht="12.75" x14ac:dyDescent="0.2"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7"/>
      <c r="W933" s="37"/>
      <c r="X933" s="37"/>
      <c r="Y933" s="37"/>
      <c r="Z933" s="37"/>
      <c r="AA933" s="37"/>
      <c r="AB933" s="37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</row>
    <row r="934" spans="2:42" ht="12.75" x14ac:dyDescent="0.2"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7"/>
      <c r="W934" s="37"/>
      <c r="X934" s="37"/>
      <c r="Y934" s="37"/>
      <c r="Z934" s="37"/>
      <c r="AA934" s="37"/>
      <c r="AB934" s="37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</row>
    <row r="935" spans="2:42" ht="12.75" x14ac:dyDescent="0.2"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7"/>
      <c r="W935" s="37"/>
      <c r="X935" s="37"/>
      <c r="Y935" s="37"/>
      <c r="Z935" s="37"/>
      <c r="AA935" s="37"/>
      <c r="AB935" s="37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</row>
    <row r="936" spans="2:42" ht="12.75" x14ac:dyDescent="0.2"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7"/>
      <c r="W936" s="37"/>
      <c r="X936" s="37"/>
      <c r="Y936" s="37"/>
      <c r="Z936" s="37"/>
      <c r="AA936" s="37"/>
      <c r="AB936" s="37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</row>
    <row r="937" spans="2:42" ht="12.75" x14ac:dyDescent="0.2"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7"/>
      <c r="W937" s="37"/>
      <c r="X937" s="37"/>
      <c r="Y937" s="37"/>
      <c r="Z937" s="37"/>
      <c r="AA937" s="37"/>
      <c r="AB937" s="37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</row>
    <row r="938" spans="2:42" ht="12.75" x14ac:dyDescent="0.2"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7"/>
      <c r="W938" s="37"/>
      <c r="X938" s="37"/>
      <c r="Y938" s="37"/>
      <c r="Z938" s="37"/>
      <c r="AA938" s="37"/>
      <c r="AB938" s="37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</row>
    <row r="939" spans="2:42" ht="12.75" x14ac:dyDescent="0.2"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7"/>
      <c r="W939" s="37"/>
      <c r="X939" s="37"/>
      <c r="Y939" s="37"/>
      <c r="Z939" s="37"/>
      <c r="AA939" s="37"/>
      <c r="AB939" s="37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</row>
    <row r="940" spans="2:42" ht="12.75" x14ac:dyDescent="0.2"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7"/>
      <c r="W940" s="37"/>
      <c r="X940" s="37"/>
      <c r="Y940" s="37"/>
      <c r="Z940" s="37"/>
      <c r="AA940" s="37"/>
      <c r="AB940" s="37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</row>
    <row r="941" spans="2:42" ht="12.75" x14ac:dyDescent="0.2"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7"/>
      <c r="W941" s="37"/>
      <c r="X941" s="37"/>
      <c r="Y941" s="37"/>
      <c r="Z941" s="37"/>
      <c r="AA941" s="37"/>
      <c r="AB941" s="37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</row>
    <row r="942" spans="2:42" ht="12.75" x14ac:dyDescent="0.2"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7"/>
      <c r="W942" s="37"/>
      <c r="X942" s="37"/>
      <c r="Y942" s="37"/>
      <c r="Z942" s="37"/>
      <c r="AA942" s="37"/>
      <c r="AB942" s="37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</row>
    <row r="943" spans="2:42" ht="12.75" x14ac:dyDescent="0.2"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7"/>
      <c r="W943" s="37"/>
      <c r="X943" s="37"/>
      <c r="Y943" s="37"/>
      <c r="Z943" s="37"/>
      <c r="AA943" s="37"/>
      <c r="AB943" s="37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</row>
    <row r="944" spans="2:42" ht="12.75" x14ac:dyDescent="0.2"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7"/>
      <c r="W944" s="37"/>
      <c r="X944" s="37"/>
      <c r="Y944" s="37"/>
      <c r="Z944" s="37"/>
      <c r="AA944" s="37"/>
      <c r="AB944" s="37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</row>
    <row r="945" spans="2:42" ht="12.75" x14ac:dyDescent="0.2"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7"/>
      <c r="W945" s="37"/>
      <c r="X945" s="37"/>
      <c r="Y945" s="37"/>
      <c r="Z945" s="37"/>
      <c r="AA945" s="37"/>
      <c r="AB945" s="37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</row>
    <row r="946" spans="2:42" ht="12.75" x14ac:dyDescent="0.2"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7"/>
      <c r="W946" s="37"/>
      <c r="X946" s="37"/>
      <c r="Y946" s="37"/>
      <c r="Z946" s="37"/>
      <c r="AA946" s="37"/>
      <c r="AB946" s="37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</row>
    <row r="947" spans="2:42" ht="12.75" x14ac:dyDescent="0.2"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7"/>
      <c r="W947" s="37"/>
      <c r="X947" s="37"/>
      <c r="Y947" s="37"/>
      <c r="Z947" s="37"/>
      <c r="AA947" s="37"/>
      <c r="AB947" s="37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</row>
    <row r="948" spans="2:42" ht="12.75" x14ac:dyDescent="0.2"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7"/>
      <c r="W948" s="37"/>
      <c r="X948" s="37"/>
      <c r="Y948" s="37"/>
      <c r="Z948" s="37"/>
      <c r="AA948" s="37"/>
      <c r="AB948" s="37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</row>
    <row r="949" spans="2:42" ht="12.75" x14ac:dyDescent="0.2"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7"/>
      <c r="W949" s="37"/>
      <c r="X949" s="37"/>
      <c r="Y949" s="37"/>
      <c r="Z949" s="37"/>
      <c r="AA949" s="37"/>
      <c r="AB949" s="37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</row>
    <row r="950" spans="2:42" ht="12.75" x14ac:dyDescent="0.2"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7"/>
      <c r="W950" s="37"/>
      <c r="X950" s="37"/>
      <c r="Y950" s="37"/>
      <c r="Z950" s="37"/>
      <c r="AA950" s="37"/>
      <c r="AB950" s="37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</row>
    <row r="951" spans="2:42" ht="12.75" x14ac:dyDescent="0.2"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7"/>
      <c r="W951" s="37"/>
      <c r="X951" s="37"/>
      <c r="Y951" s="37"/>
      <c r="Z951" s="37"/>
      <c r="AA951" s="37"/>
      <c r="AB951" s="37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</row>
    <row r="952" spans="2:42" ht="12.75" x14ac:dyDescent="0.2"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7"/>
      <c r="W952" s="37"/>
      <c r="X952" s="37"/>
      <c r="Y952" s="37"/>
      <c r="Z952" s="37"/>
      <c r="AA952" s="37"/>
      <c r="AB952" s="37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</row>
    <row r="953" spans="2:42" ht="12.75" x14ac:dyDescent="0.2"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7"/>
      <c r="W953" s="37"/>
      <c r="X953" s="37"/>
      <c r="Y953" s="37"/>
      <c r="Z953" s="37"/>
      <c r="AA953" s="37"/>
      <c r="AB953" s="37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</row>
    <row r="954" spans="2:42" ht="12.75" x14ac:dyDescent="0.2"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7"/>
      <c r="W954" s="37"/>
      <c r="X954" s="37"/>
      <c r="Y954" s="37"/>
      <c r="Z954" s="37"/>
      <c r="AA954" s="37"/>
      <c r="AB954" s="37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</row>
    <row r="955" spans="2:42" ht="12.75" x14ac:dyDescent="0.2"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7"/>
      <c r="W955" s="37"/>
      <c r="X955" s="37"/>
      <c r="Y955" s="37"/>
      <c r="Z955" s="37"/>
      <c r="AA955" s="37"/>
      <c r="AB955" s="37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</row>
    <row r="956" spans="2:42" ht="12.75" x14ac:dyDescent="0.2"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7"/>
      <c r="W956" s="37"/>
      <c r="X956" s="37"/>
      <c r="Y956" s="37"/>
      <c r="Z956" s="37"/>
      <c r="AA956" s="37"/>
      <c r="AB956" s="37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</row>
    <row r="957" spans="2:42" ht="12.75" x14ac:dyDescent="0.2"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7"/>
      <c r="W957" s="37"/>
      <c r="X957" s="37"/>
      <c r="Y957" s="37"/>
      <c r="Z957" s="37"/>
      <c r="AA957" s="37"/>
      <c r="AB957" s="37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</row>
    <row r="958" spans="2:42" ht="12.75" x14ac:dyDescent="0.2"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7"/>
      <c r="W958" s="37"/>
      <c r="X958" s="37"/>
      <c r="Y958" s="37"/>
      <c r="Z958" s="37"/>
      <c r="AA958" s="37"/>
      <c r="AB958" s="37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</row>
    <row r="959" spans="2:42" ht="12.75" x14ac:dyDescent="0.2"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7"/>
      <c r="W959" s="37"/>
      <c r="X959" s="37"/>
      <c r="Y959" s="37"/>
      <c r="Z959" s="37"/>
      <c r="AA959" s="37"/>
      <c r="AB959" s="37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</row>
    <row r="960" spans="2:42" ht="12.75" x14ac:dyDescent="0.2"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7"/>
      <c r="W960" s="37"/>
      <c r="X960" s="37"/>
      <c r="Y960" s="37"/>
      <c r="Z960" s="37"/>
      <c r="AA960" s="37"/>
      <c r="AB960" s="37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</row>
    <row r="961" spans="2:42" ht="12.75" x14ac:dyDescent="0.2"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7"/>
      <c r="W961" s="37"/>
      <c r="X961" s="37"/>
      <c r="Y961" s="37"/>
      <c r="Z961" s="37"/>
      <c r="AA961" s="37"/>
      <c r="AB961" s="37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</row>
    <row r="962" spans="2:42" ht="12.75" x14ac:dyDescent="0.2"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7"/>
      <c r="W962" s="37"/>
      <c r="X962" s="37"/>
      <c r="Y962" s="37"/>
      <c r="Z962" s="37"/>
      <c r="AA962" s="37"/>
      <c r="AB962" s="37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</row>
    <row r="963" spans="2:42" ht="12.75" x14ac:dyDescent="0.2"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7"/>
      <c r="W963" s="37"/>
      <c r="X963" s="37"/>
      <c r="Y963" s="37"/>
      <c r="Z963" s="37"/>
      <c r="AA963" s="37"/>
      <c r="AB963" s="37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</row>
    <row r="964" spans="2:42" ht="12.75" x14ac:dyDescent="0.2"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7"/>
      <c r="W964" s="37"/>
      <c r="X964" s="37"/>
      <c r="Y964" s="37"/>
      <c r="Z964" s="37"/>
      <c r="AA964" s="37"/>
      <c r="AB964" s="37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</row>
    <row r="965" spans="2:42" ht="12.75" x14ac:dyDescent="0.2"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7"/>
      <c r="W965" s="37"/>
      <c r="X965" s="37"/>
      <c r="Y965" s="37"/>
      <c r="Z965" s="37"/>
      <c r="AA965" s="37"/>
      <c r="AB965" s="37"/>
      <c r="AC965" s="36"/>
      <c r="AD965" s="36"/>
      <c r="AE965" s="36"/>
      <c r="AF965" s="37"/>
      <c r="AG965" s="37"/>
      <c r="AH965" s="37"/>
      <c r="AI965" s="37"/>
      <c r="AJ965" s="37"/>
      <c r="AK965" s="37"/>
      <c r="AL965" s="37"/>
      <c r="AM965" s="36"/>
      <c r="AN965" s="36"/>
      <c r="AO965" s="36"/>
      <c r="AP965" s="36"/>
    </row>
    <row r="966" spans="2:42" ht="12.75" x14ac:dyDescent="0.2"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7"/>
      <c r="W966" s="37"/>
      <c r="X966" s="37"/>
      <c r="Y966" s="37"/>
      <c r="Z966" s="37"/>
      <c r="AA966" s="37"/>
      <c r="AB966" s="37"/>
      <c r="AC966" s="36"/>
      <c r="AD966" s="36"/>
      <c r="AE966" s="36"/>
      <c r="AF966" s="37"/>
      <c r="AG966" s="37"/>
      <c r="AH966" s="37"/>
      <c r="AI966" s="37"/>
      <c r="AJ966" s="37"/>
      <c r="AK966" s="37"/>
      <c r="AL966" s="37"/>
      <c r="AM966" s="36"/>
      <c r="AN966" s="36"/>
      <c r="AO966" s="36"/>
      <c r="AP966" s="36"/>
    </row>
    <row r="967" spans="2:42" ht="12.75" x14ac:dyDescent="0.2"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7"/>
      <c r="W967" s="37"/>
      <c r="X967" s="37"/>
      <c r="Y967" s="37"/>
      <c r="Z967" s="37"/>
      <c r="AA967" s="37"/>
      <c r="AB967" s="37"/>
      <c r="AC967" s="36"/>
      <c r="AD967" s="36"/>
      <c r="AE967" s="36"/>
      <c r="AF967" s="37"/>
      <c r="AG967" s="37"/>
      <c r="AH967" s="37"/>
      <c r="AI967" s="37"/>
      <c r="AJ967" s="37"/>
      <c r="AK967" s="37"/>
      <c r="AL967" s="37"/>
      <c r="AM967" s="36"/>
      <c r="AN967" s="36"/>
      <c r="AO967" s="36"/>
      <c r="AP967" s="36"/>
    </row>
    <row r="968" spans="2:42" ht="12.75" x14ac:dyDescent="0.2"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7"/>
      <c r="W968" s="37"/>
      <c r="X968" s="37"/>
      <c r="Y968" s="37"/>
      <c r="Z968" s="37"/>
      <c r="AA968" s="37"/>
      <c r="AB968" s="37"/>
      <c r="AC968" s="36"/>
      <c r="AD968" s="36"/>
      <c r="AE968" s="36"/>
      <c r="AF968" s="37"/>
      <c r="AG968" s="37"/>
      <c r="AH968" s="37"/>
      <c r="AI968" s="37"/>
      <c r="AJ968" s="37"/>
      <c r="AK968" s="37"/>
      <c r="AL968" s="37"/>
      <c r="AM968" s="36"/>
      <c r="AN968" s="36"/>
      <c r="AO968" s="36"/>
      <c r="AP968" s="36"/>
    </row>
    <row r="969" spans="2:42" ht="12.75" x14ac:dyDescent="0.2"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7"/>
      <c r="W969" s="37"/>
      <c r="X969" s="37"/>
      <c r="Y969" s="37"/>
      <c r="Z969" s="37"/>
      <c r="AA969" s="37"/>
      <c r="AB969" s="37"/>
      <c r="AC969" s="36"/>
      <c r="AD969" s="36"/>
      <c r="AE969" s="36"/>
      <c r="AF969" s="37"/>
      <c r="AG969" s="37"/>
      <c r="AH969" s="37"/>
      <c r="AI969" s="37"/>
      <c r="AJ969" s="37"/>
      <c r="AK969" s="37"/>
      <c r="AL969" s="37"/>
      <c r="AM969" s="36"/>
      <c r="AN969" s="36"/>
      <c r="AO969" s="36"/>
      <c r="AP969" s="36"/>
    </row>
    <row r="970" spans="2:42" ht="12.75" x14ac:dyDescent="0.2"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7"/>
      <c r="W970" s="37"/>
      <c r="X970" s="37"/>
      <c r="Y970" s="37"/>
      <c r="Z970" s="37"/>
      <c r="AA970" s="37"/>
      <c r="AB970" s="37"/>
      <c r="AC970" s="36"/>
      <c r="AD970" s="36"/>
      <c r="AE970" s="36"/>
      <c r="AF970" s="37"/>
      <c r="AG970" s="37"/>
      <c r="AH970" s="37"/>
      <c r="AI970" s="37"/>
      <c r="AJ970" s="37"/>
      <c r="AK970" s="37"/>
      <c r="AL970" s="37"/>
      <c r="AM970" s="36"/>
      <c r="AN970" s="36"/>
      <c r="AO970" s="36"/>
      <c r="AP970" s="36"/>
    </row>
    <row r="971" spans="2:42" ht="12.75" x14ac:dyDescent="0.2"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7"/>
      <c r="W971" s="37"/>
      <c r="X971" s="37"/>
      <c r="Y971" s="37"/>
      <c r="Z971" s="37"/>
      <c r="AA971" s="37"/>
      <c r="AB971" s="37"/>
      <c r="AC971" s="36"/>
      <c r="AD971" s="36"/>
      <c r="AE971" s="36"/>
      <c r="AF971" s="37"/>
      <c r="AG971" s="37"/>
      <c r="AH971" s="37"/>
      <c r="AI971" s="37"/>
      <c r="AJ971" s="37"/>
      <c r="AK971" s="37"/>
      <c r="AL971" s="37"/>
      <c r="AM971" s="36"/>
      <c r="AN971" s="36"/>
      <c r="AO971" s="36"/>
      <c r="AP971" s="36"/>
    </row>
    <row r="972" spans="2:42" ht="12.75" x14ac:dyDescent="0.2"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7"/>
      <c r="W972" s="37"/>
      <c r="X972" s="37"/>
      <c r="Y972" s="37"/>
      <c r="Z972" s="37"/>
      <c r="AA972" s="37"/>
      <c r="AB972" s="37"/>
      <c r="AC972" s="36"/>
      <c r="AD972" s="36"/>
      <c r="AE972" s="36"/>
      <c r="AF972" s="37"/>
      <c r="AG972" s="37"/>
      <c r="AH972" s="37"/>
      <c r="AI972" s="37"/>
      <c r="AJ972" s="37"/>
      <c r="AK972" s="37"/>
      <c r="AL972" s="37"/>
      <c r="AM972" s="36"/>
      <c r="AN972" s="36"/>
      <c r="AO972" s="36"/>
      <c r="AP972" s="36"/>
    </row>
    <row r="973" spans="2:42" ht="12.75" x14ac:dyDescent="0.2"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7"/>
      <c r="W973" s="37"/>
      <c r="X973" s="37"/>
      <c r="Y973" s="37"/>
      <c r="Z973" s="37"/>
      <c r="AA973" s="37"/>
      <c r="AB973" s="37"/>
      <c r="AC973" s="36"/>
      <c r="AD973" s="36"/>
      <c r="AE973" s="36"/>
      <c r="AF973" s="37"/>
      <c r="AG973" s="37"/>
      <c r="AH973" s="37"/>
      <c r="AI973" s="37"/>
      <c r="AJ973" s="37"/>
      <c r="AK973" s="37"/>
      <c r="AL973" s="37"/>
      <c r="AM973" s="36"/>
      <c r="AN973" s="36"/>
      <c r="AO973" s="36"/>
      <c r="AP973" s="36"/>
    </row>
    <row r="974" spans="2:42" ht="12.75" x14ac:dyDescent="0.2"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7"/>
      <c r="M974" s="37"/>
      <c r="N974" s="37"/>
      <c r="O974" s="37"/>
      <c r="P974" s="37"/>
      <c r="Q974" s="37"/>
      <c r="R974" s="37"/>
      <c r="S974" s="36"/>
      <c r="T974" s="36"/>
      <c r="U974" s="36"/>
      <c r="V974" s="37"/>
      <c r="W974" s="37"/>
      <c r="X974" s="37"/>
      <c r="Y974" s="37"/>
      <c r="Z974" s="37"/>
      <c r="AA974" s="37"/>
      <c r="AB974" s="37"/>
      <c r="AC974" s="36"/>
      <c r="AD974" s="36"/>
      <c r="AE974" s="36"/>
      <c r="AF974" s="37"/>
      <c r="AG974" s="37"/>
      <c r="AH974" s="37"/>
      <c r="AI974" s="37"/>
      <c r="AJ974" s="37"/>
      <c r="AK974" s="37"/>
      <c r="AL974" s="37"/>
      <c r="AM974" s="36"/>
      <c r="AN974" s="36"/>
      <c r="AO974" s="36"/>
      <c r="AP974" s="36"/>
    </row>
    <row r="975" spans="2:42" ht="12.75" x14ac:dyDescent="0.2"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7"/>
      <c r="M975" s="37"/>
      <c r="N975" s="37"/>
      <c r="O975" s="37"/>
      <c r="P975" s="37"/>
      <c r="Q975" s="37"/>
      <c r="R975" s="37"/>
      <c r="S975" s="36"/>
      <c r="T975" s="36"/>
      <c r="U975" s="36"/>
      <c r="V975" s="37"/>
      <c r="W975" s="37"/>
      <c r="X975" s="37"/>
      <c r="Y975" s="37"/>
      <c r="Z975" s="37"/>
      <c r="AA975" s="37"/>
      <c r="AB975" s="37"/>
      <c r="AC975" s="36"/>
      <c r="AD975" s="36"/>
      <c r="AE975" s="36"/>
      <c r="AF975" s="37"/>
      <c r="AG975" s="37"/>
      <c r="AH975" s="37"/>
      <c r="AI975" s="37"/>
      <c r="AJ975" s="37"/>
      <c r="AK975" s="37"/>
      <c r="AL975" s="37"/>
      <c r="AM975" s="36"/>
      <c r="AN975" s="36"/>
      <c r="AO975" s="36"/>
      <c r="AP975" s="36"/>
    </row>
    <row r="976" spans="2:42" ht="12.75" x14ac:dyDescent="0.2"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7"/>
      <c r="M976" s="37"/>
      <c r="N976" s="37"/>
      <c r="O976" s="37"/>
      <c r="P976" s="37"/>
      <c r="Q976" s="37"/>
      <c r="R976" s="37"/>
      <c r="S976" s="36"/>
      <c r="T976" s="36"/>
      <c r="U976" s="36"/>
      <c r="V976" s="37"/>
      <c r="W976" s="37"/>
      <c r="X976" s="37"/>
      <c r="Y976" s="37"/>
      <c r="Z976" s="37"/>
      <c r="AA976" s="37"/>
      <c r="AB976" s="37"/>
      <c r="AC976" s="36"/>
      <c r="AD976" s="36"/>
      <c r="AE976" s="36"/>
      <c r="AF976" s="37"/>
      <c r="AG976" s="37"/>
      <c r="AH976" s="37"/>
      <c r="AI976" s="37"/>
      <c r="AJ976" s="37"/>
      <c r="AK976" s="37"/>
      <c r="AL976" s="37"/>
      <c r="AM976" s="36"/>
      <c r="AN976" s="36"/>
      <c r="AO976" s="36"/>
      <c r="AP976" s="36"/>
    </row>
    <row r="977" spans="2:42" ht="12.75" x14ac:dyDescent="0.2"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7"/>
      <c r="M977" s="37"/>
      <c r="N977" s="37"/>
      <c r="O977" s="37"/>
      <c r="P977" s="37"/>
      <c r="Q977" s="37"/>
      <c r="R977" s="37"/>
      <c r="S977" s="36"/>
      <c r="T977" s="36"/>
      <c r="U977" s="36"/>
      <c r="V977" s="37"/>
      <c r="W977" s="37"/>
      <c r="X977" s="37"/>
      <c r="Y977" s="37"/>
      <c r="Z977" s="37"/>
      <c r="AA977" s="37"/>
      <c r="AB977" s="37"/>
      <c r="AC977" s="36"/>
      <c r="AD977" s="36"/>
      <c r="AE977" s="36"/>
      <c r="AF977" s="37"/>
      <c r="AG977" s="37"/>
      <c r="AH977" s="37"/>
      <c r="AI977" s="37"/>
      <c r="AJ977" s="37"/>
      <c r="AK977" s="37"/>
      <c r="AL977" s="37"/>
      <c r="AM977" s="36"/>
      <c r="AN977" s="36"/>
      <c r="AO977" s="36"/>
      <c r="AP977" s="36"/>
    </row>
    <row r="978" spans="2:42" ht="12.75" x14ac:dyDescent="0.2"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7"/>
      <c r="M978" s="37"/>
      <c r="N978" s="37"/>
      <c r="O978" s="37"/>
      <c r="P978" s="37"/>
      <c r="Q978" s="37"/>
      <c r="R978" s="37"/>
      <c r="S978" s="36"/>
      <c r="T978" s="36"/>
      <c r="U978" s="36"/>
      <c r="V978" s="37"/>
      <c r="W978" s="37"/>
      <c r="X978" s="37"/>
      <c r="Y978" s="37"/>
      <c r="Z978" s="37"/>
      <c r="AA978" s="37"/>
      <c r="AB978" s="37"/>
      <c r="AC978" s="36"/>
      <c r="AD978" s="36"/>
      <c r="AE978" s="36"/>
      <c r="AF978" s="37"/>
      <c r="AG978" s="37"/>
      <c r="AH978" s="37"/>
      <c r="AI978" s="37"/>
      <c r="AJ978" s="37"/>
      <c r="AK978" s="37"/>
      <c r="AL978" s="37"/>
      <c r="AM978" s="36"/>
      <c r="AN978" s="36"/>
      <c r="AO978" s="36"/>
      <c r="AP978" s="36"/>
    </row>
    <row r="979" spans="2:42" ht="12.75" x14ac:dyDescent="0.2"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7"/>
      <c r="M979" s="37"/>
      <c r="N979" s="37"/>
      <c r="O979" s="37"/>
      <c r="P979" s="37"/>
      <c r="Q979" s="37"/>
      <c r="R979" s="37"/>
      <c r="S979" s="36"/>
      <c r="T979" s="36"/>
      <c r="U979" s="36"/>
      <c r="V979" s="37"/>
      <c r="W979" s="37"/>
      <c r="X979" s="37"/>
      <c r="Y979" s="37"/>
      <c r="Z979" s="37"/>
      <c r="AA979" s="37"/>
      <c r="AB979" s="37"/>
      <c r="AC979" s="36"/>
      <c r="AD979" s="36"/>
      <c r="AE979" s="36"/>
      <c r="AF979" s="37"/>
      <c r="AG979" s="37"/>
      <c r="AH979" s="37"/>
      <c r="AI979" s="37"/>
      <c r="AJ979" s="37"/>
      <c r="AK979" s="37"/>
      <c r="AL979" s="37"/>
      <c r="AM979" s="36"/>
      <c r="AN979" s="36"/>
      <c r="AO979" s="36"/>
      <c r="AP979" s="36"/>
    </row>
    <row r="980" spans="2:42" ht="12.75" x14ac:dyDescent="0.2"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7"/>
      <c r="M980" s="37"/>
      <c r="N980" s="37"/>
      <c r="O980" s="37"/>
      <c r="P980" s="37"/>
      <c r="Q980" s="37"/>
      <c r="R980" s="37"/>
      <c r="S980" s="36"/>
      <c r="T980" s="36"/>
      <c r="U980" s="36"/>
      <c r="V980" s="37"/>
      <c r="W980" s="37"/>
      <c r="X980" s="37"/>
      <c r="Y980" s="37"/>
      <c r="Z980" s="37"/>
      <c r="AA980" s="37"/>
      <c r="AB980" s="37"/>
      <c r="AC980" s="36"/>
      <c r="AD980" s="36"/>
      <c r="AE980" s="36"/>
      <c r="AF980" s="37"/>
      <c r="AG980" s="37"/>
      <c r="AH980" s="37"/>
      <c r="AI980" s="37"/>
      <c r="AJ980" s="37"/>
      <c r="AK980" s="37"/>
      <c r="AL980" s="37"/>
      <c r="AM980" s="36"/>
      <c r="AN980" s="36"/>
      <c r="AO980" s="36"/>
      <c r="AP980" s="36"/>
    </row>
    <row r="981" spans="2:42" ht="12.75" x14ac:dyDescent="0.2"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7"/>
      <c r="M981" s="37"/>
      <c r="N981" s="37"/>
      <c r="O981" s="37"/>
      <c r="P981" s="37"/>
      <c r="Q981" s="37"/>
      <c r="R981" s="37"/>
      <c r="S981" s="36"/>
      <c r="T981" s="36"/>
      <c r="U981" s="36"/>
      <c r="V981" s="37"/>
      <c r="W981" s="37"/>
      <c r="X981" s="37"/>
      <c r="Y981" s="37"/>
      <c r="Z981" s="37"/>
      <c r="AA981" s="37"/>
      <c r="AB981" s="37"/>
      <c r="AC981" s="36"/>
      <c r="AD981" s="36"/>
      <c r="AE981" s="36"/>
      <c r="AF981" s="37"/>
      <c r="AG981" s="37"/>
      <c r="AH981" s="37"/>
      <c r="AI981" s="37"/>
      <c r="AJ981" s="37"/>
      <c r="AK981" s="37"/>
      <c r="AL981" s="37"/>
      <c r="AM981" s="36"/>
      <c r="AN981" s="36"/>
      <c r="AO981" s="36"/>
      <c r="AP981" s="36"/>
    </row>
    <row r="982" spans="2:42" ht="12.75" x14ac:dyDescent="0.2"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7"/>
      <c r="M982" s="37"/>
      <c r="N982" s="37"/>
      <c r="O982" s="37"/>
      <c r="P982" s="37"/>
      <c r="Q982" s="37"/>
      <c r="R982" s="37"/>
      <c r="S982" s="36"/>
      <c r="T982" s="36"/>
      <c r="U982" s="36"/>
      <c r="V982" s="37"/>
      <c r="W982" s="37"/>
      <c r="X982" s="37"/>
      <c r="Y982" s="37"/>
      <c r="Z982" s="37"/>
      <c r="AA982" s="37"/>
      <c r="AB982" s="37"/>
      <c r="AC982" s="36"/>
      <c r="AD982" s="36"/>
      <c r="AE982" s="36"/>
      <c r="AF982" s="37"/>
      <c r="AG982" s="37"/>
      <c r="AH982" s="37"/>
      <c r="AI982" s="37"/>
      <c r="AJ982" s="37"/>
      <c r="AK982" s="37"/>
      <c r="AL982" s="37"/>
      <c r="AM982" s="36"/>
      <c r="AN982" s="36"/>
      <c r="AO982" s="36"/>
      <c r="AP982" s="36"/>
    </row>
    <row r="983" spans="2:42" ht="12.75" x14ac:dyDescent="0.2"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7"/>
      <c r="M983" s="37"/>
      <c r="N983" s="37"/>
      <c r="O983" s="37"/>
      <c r="P983" s="37"/>
      <c r="Q983" s="37"/>
      <c r="R983" s="37"/>
      <c r="S983" s="36"/>
      <c r="T983" s="36"/>
      <c r="U983" s="36"/>
      <c r="V983" s="37"/>
      <c r="W983" s="37"/>
      <c r="X983" s="37"/>
      <c r="Y983" s="37"/>
      <c r="Z983" s="37"/>
      <c r="AA983" s="37"/>
      <c r="AB983" s="37"/>
      <c r="AC983" s="36"/>
      <c r="AD983" s="36"/>
      <c r="AE983" s="36"/>
      <c r="AF983" s="37"/>
      <c r="AG983" s="37"/>
      <c r="AH983" s="37"/>
      <c r="AI983" s="37"/>
      <c r="AJ983" s="37"/>
      <c r="AK983" s="37"/>
      <c r="AL983" s="37"/>
      <c r="AM983" s="36"/>
      <c r="AN983" s="36"/>
      <c r="AO983" s="36"/>
      <c r="AP983" s="36"/>
    </row>
    <row r="984" spans="2:42" ht="12.75" x14ac:dyDescent="0.2"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7"/>
      <c r="M984" s="37"/>
      <c r="N984" s="37"/>
      <c r="O984" s="37"/>
      <c r="P984" s="37"/>
      <c r="Q984" s="37"/>
      <c r="R984" s="37"/>
      <c r="S984" s="36"/>
      <c r="T984" s="36"/>
      <c r="U984" s="36"/>
      <c r="V984" s="37"/>
      <c r="W984" s="37"/>
      <c r="X984" s="37"/>
      <c r="Y984" s="37"/>
      <c r="Z984" s="37"/>
      <c r="AA984" s="37"/>
      <c r="AB984" s="37"/>
      <c r="AC984" s="36"/>
      <c r="AD984" s="36"/>
      <c r="AE984" s="36"/>
      <c r="AF984" s="37"/>
      <c r="AG984" s="37"/>
      <c r="AH984" s="37"/>
      <c r="AI984" s="37"/>
      <c r="AJ984" s="37"/>
      <c r="AK984" s="37"/>
      <c r="AL984" s="37"/>
      <c r="AM984" s="36"/>
      <c r="AN984" s="36"/>
      <c r="AO984" s="36"/>
      <c r="AP984" s="36"/>
    </row>
    <row r="985" spans="2:42" ht="12.75" x14ac:dyDescent="0.2"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7"/>
      <c r="M985" s="37"/>
      <c r="N985" s="37"/>
      <c r="O985" s="37"/>
      <c r="P985" s="37"/>
      <c r="Q985" s="37"/>
      <c r="R985" s="37"/>
      <c r="S985" s="36"/>
      <c r="T985" s="36"/>
      <c r="U985" s="36"/>
      <c r="V985" s="37"/>
      <c r="W985" s="37"/>
      <c r="X985" s="37"/>
      <c r="Y985" s="37"/>
      <c r="Z985" s="37"/>
      <c r="AA985" s="37"/>
      <c r="AB985" s="37"/>
      <c r="AC985" s="36"/>
      <c r="AD985" s="36"/>
      <c r="AE985" s="36"/>
      <c r="AF985" s="37"/>
      <c r="AG985" s="37"/>
      <c r="AH985" s="37"/>
      <c r="AI985" s="37"/>
      <c r="AJ985" s="37"/>
      <c r="AK985" s="37"/>
      <c r="AL985" s="37"/>
      <c r="AM985" s="36"/>
      <c r="AN985" s="36"/>
      <c r="AO985" s="36"/>
      <c r="AP985" s="36"/>
    </row>
    <row r="986" spans="2:42" ht="12.75" x14ac:dyDescent="0.2"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7"/>
      <c r="M986" s="37"/>
      <c r="N986" s="37"/>
      <c r="O986" s="37"/>
      <c r="P986" s="37"/>
      <c r="Q986" s="37"/>
      <c r="R986" s="37"/>
      <c r="S986" s="36"/>
      <c r="T986" s="36"/>
      <c r="U986" s="36"/>
      <c r="V986" s="37"/>
      <c r="W986" s="37"/>
      <c r="X986" s="37"/>
      <c r="Y986" s="37"/>
      <c r="Z986" s="37"/>
      <c r="AA986" s="37"/>
      <c r="AB986" s="37"/>
      <c r="AC986" s="36"/>
      <c r="AD986" s="36"/>
      <c r="AE986" s="36"/>
      <c r="AF986" s="37"/>
      <c r="AG986" s="37"/>
      <c r="AH986" s="37"/>
      <c r="AI986" s="37"/>
      <c r="AJ986" s="37"/>
      <c r="AK986" s="37"/>
      <c r="AL986" s="37"/>
      <c r="AM986" s="36"/>
      <c r="AN986" s="36"/>
      <c r="AO986" s="36"/>
      <c r="AP986" s="36"/>
    </row>
    <row r="987" spans="2:42" ht="12.75" x14ac:dyDescent="0.2">
      <c r="B987" s="37"/>
      <c r="C987" s="37"/>
      <c r="D987" s="37"/>
      <c r="E987" s="37"/>
      <c r="F987" s="37"/>
      <c r="G987" s="37"/>
      <c r="H987" s="37"/>
      <c r="I987" s="36"/>
      <c r="J987" s="36"/>
      <c r="K987" s="36"/>
      <c r="L987" s="37"/>
      <c r="M987" s="37"/>
      <c r="N987" s="37"/>
      <c r="O987" s="37"/>
      <c r="P987" s="37"/>
      <c r="Q987" s="37"/>
      <c r="R987" s="37"/>
      <c r="S987" s="36"/>
      <c r="T987" s="36"/>
      <c r="U987" s="36"/>
      <c r="V987" s="37"/>
      <c r="W987" s="37"/>
      <c r="X987" s="37"/>
      <c r="Y987" s="37"/>
      <c r="Z987" s="37"/>
      <c r="AA987" s="37"/>
      <c r="AB987" s="37"/>
      <c r="AC987" s="36"/>
      <c r="AD987" s="36"/>
      <c r="AE987" s="36"/>
      <c r="AF987" s="37"/>
      <c r="AG987" s="37"/>
      <c r="AH987" s="37"/>
      <c r="AI987" s="37"/>
      <c r="AJ987" s="37"/>
      <c r="AK987" s="37"/>
      <c r="AL987" s="37"/>
      <c r="AM987" s="36"/>
      <c r="AN987" s="36"/>
      <c r="AO987" s="36"/>
      <c r="AP987" s="36"/>
    </row>
    <row r="988" spans="2:42" ht="12.75" x14ac:dyDescent="0.2">
      <c r="B988" s="37"/>
      <c r="C988" s="37"/>
      <c r="D988" s="37"/>
      <c r="E988" s="37"/>
      <c r="F988" s="37"/>
      <c r="G988" s="37"/>
      <c r="H988" s="37"/>
      <c r="I988" s="36"/>
      <c r="J988" s="36"/>
      <c r="K988" s="36"/>
      <c r="L988" s="37"/>
      <c r="M988" s="37"/>
      <c r="N988" s="37"/>
      <c r="O988" s="37"/>
      <c r="P988" s="37"/>
      <c r="Q988" s="37"/>
      <c r="R988" s="37"/>
      <c r="S988" s="36"/>
      <c r="T988" s="36"/>
      <c r="U988" s="36"/>
      <c r="V988" s="37"/>
      <c r="W988" s="37"/>
      <c r="X988" s="37"/>
      <c r="Y988" s="37"/>
      <c r="Z988" s="37"/>
      <c r="AA988" s="37"/>
      <c r="AB988" s="37"/>
      <c r="AC988" s="36"/>
      <c r="AD988" s="36"/>
      <c r="AE988" s="36"/>
      <c r="AF988" s="37"/>
      <c r="AG988" s="37"/>
      <c r="AH988" s="37"/>
      <c r="AI988" s="37"/>
      <c r="AJ988" s="37"/>
      <c r="AK988" s="37"/>
      <c r="AL988" s="37"/>
      <c r="AM988" s="36"/>
      <c r="AN988" s="36"/>
      <c r="AO988" s="36"/>
      <c r="AP988" s="36"/>
    </row>
    <row r="989" spans="2:42" ht="12.75" x14ac:dyDescent="0.2">
      <c r="B989" s="37"/>
      <c r="C989" s="37"/>
      <c r="D989" s="37"/>
      <c r="E989" s="37"/>
      <c r="F989" s="37"/>
      <c r="G989" s="37"/>
      <c r="H989" s="37"/>
      <c r="I989" s="36"/>
      <c r="J989" s="36"/>
      <c r="K989" s="36"/>
      <c r="L989" s="37"/>
      <c r="M989" s="37"/>
      <c r="N989" s="37"/>
      <c r="O989" s="37"/>
      <c r="P989" s="37"/>
      <c r="Q989" s="37"/>
      <c r="R989" s="37"/>
      <c r="S989" s="37"/>
      <c r="T989" s="37"/>
      <c r="U989" s="36"/>
      <c r="V989" s="37"/>
      <c r="W989" s="37"/>
      <c r="X989" s="37"/>
      <c r="Y989" s="37"/>
      <c r="Z989" s="37"/>
      <c r="AA989" s="37"/>
      <c r="AB989" s="37"/>
      <c r="AC989" s="36"/>
      <c r="AD989" s="36"/>
      <c r="AE989" s="36"/>
      <c r="AF989" s="37"/>
      <c r="AG989" s="37"/>
      <c r="AH989" s="37"/>
      <c r="AI989" s="37"/>
      <c r="AJ989" s="37"/>
      <c r="AK989" s="37"/>
      <c r="AL989" s="37"/>
      <c r="AM989" s="36"/>
      <c r="AN989" s="36"/>
      <c r="AO989" s="36"/>
      <c r="AP989" s="36"/>
    </row>
    <row r="990" spans="2:42" ht="12.75" x14ac:dyDescent="0.2">
      <c r="B990" s="37"/>
      <c r="C990" s="37"/>
      <c r="D990" s="37"/>
      <c r="E990" s="37"/>
      <c r="F990" s="37"/>
      <c r="G990" s="37"/>
      <c r="H990" s="37"/>
      <c r="I990" s="36"/>
      <c r="J990" s="36"/>
      <c r="K990" s="36"/>
      <c r="L990" s="37"/>
      <c r="M990" s="37"/>
      <c r="N990" s="37"/>
      <c r="O990" s="37"/>
      <c r="P990" s="37"/>
      <c r="Q990" s="37"/>
      <c r="R990" s="37"/>
      <c r="S990" s="37"/>
      <c r="T990" s="37"/>
      <c r="U990" s="36"/>
      <c r="V990" s="37"/>
      <c r="W990" s="37"/>
      <c r="X990" s="37"/>
      <c r="Y990" s="37"/>
      <c r="Z990" s="37"/>
      <c r="AA990" s="37"/>
      <c r="AB990" s="37"/>
      <c r="AC990" s="36"/>
      <c r="AD990" s="36"/>
      <c r="AE990" s="36"/>
      <c r="AF990" s="37"/>
      <c r="AG990" s="37"/>
      <c r="AH990" s="37"/>
      <c r="AI990" s="37"/>
      <c r="AJ990" s="37"/>
      <c r="AK990" s="37"/>
      <c r="AL990" s="37"/>
      <c r="AM990" s="37"/>
      <c r="AN990" s="37"/>
      <c r="AO990" s="36"/>
      <c r="AP990" s="36"/>
    </row>
    <row r="991" spans="2:42" ht="12.75" x14ac:dyDescent="0.2">
      <c r="B991" s="37"/>
      <c r="C991" s="37"/>
      <c r="D991" s="37"/>
      <c r="E991" s="37"/>
      <c r="F991" s="37"/>
      <c r="G991" s="37"/>
      <c r="H991" s="37"/>
      <c r="I991" s="36"/>
      <c r="J991" s="36"/>
      <c r="K991" s="36"/>
      <c r="L991" s="37"/>
      <c r="M991" s="37"/>
      <c r="N991" s="37"/>
      <c r="O991" s="37"/>
      <c r="P991" s="37"/>
      <c r="Q991" s="37"/>
      <c r="R991" s="37"/>
      <c r="S991" s="37"/>
      <c r="T991" s="37"/>
      <c r="U991" s="36"/>
      <c r="V991" s="37"/>
      <c r="W991" s="37"/>
      <c r="X991" s="37"/>
      <c r="Y991" s="37"/>
      <c r="Z991" s="37"/>
      <c r="AA991" s="37"/>
      <c r="AB991" s="37"/>
      <c r="AC991" s="37"/>
      <c r="AD991" s="37"/>
      <c r="AE991" s="36"/>
      <c r="AF991" s="37"/>
      <c r="AG991" s="37"/>
      <c r="AH991" s="37"/>
      <c r="AI991" s="37"/>
      <c r="AJ991" s="37"/>
      <c r="AK991" s="37"/>
      <c r="AL991" s="37"/>
      <c r="AM991" s="37"/>
      <c r="AN991" s="37"/>
      <c r="AO991" s="36"/>
      <c r="AP991" s="36"/>
    </row>
    <row r="992" spans="2:42" ht="12.75" x14ac:dyDescent="0.2">
      <c r="B992" s="37"/>
      <c r="C992" s="37"/>
      <c r="D992" s="37"/>
      <c r="E992" s="37"/>
      <c r="F992" s="37"/>
      <c r="G992" s="37"/>
      <c r="H992" s="37"/>
      <c r="I992" s="36"/>
      <c r="J992" s="36"/>
      <c r="K992" s="36"/>
      <c r="L992" s="37"/>
      <c r="M992" s="37"/>
      <c r="N992" s="37"/>
      <c r="O992" s="37"/>
      <c r="P992" s="37"/>
      <c r="Q992" s="37"/>
      <c r="R992" s="37"/>
      <c r="S992" s="37"/>
      <c r="T992" s="37"/>
      <c r="U992" s="36"/>
      <c r="V992" s="37"/>
      <c r="W992" s="37"/>
      <c r="X992" s="37"/>
      <c r="Y992" s="37"/>
      <c r="Z992" s="37"/>
      <c r="AA992" s="37"/>
      <c r="AB992" s="37"/>
      <c r="AC992" s="37"/>
      <c r="AD992" s="37"/>
      <c r="AE992" s="36"/>
      <c r="AF992" s="37"/>
      <c r="AG992" s="37"/>
      <c r="AH992" s="37"/>
      <c r="AI992" s="37"/>
      <c r="AJ992" s="37"/>
      <c r="AK992" s="37"/>
      <c r="AL992" s="37"/>
      <c r="AM992" s="37"/>
      <c r="AN992" s="37"/>
      <c r="AO992" s="36"/>
      <c r="AP992" s="36"/>
    </row>
    <row r="993" spans="2:42" ht="12.75" x14ac:dyDescent="0.2">
      <c r="B993" s="37"/>
      <c r="C993" s="37"/>
      <c r="D993" s="37"/>
      <c r="E993" s="37"/>
      <c r="F993" s="37"/>
      <c r="G993" s="37"/>
      <c r="H993" s="37"/>
      <c r="I993" s="36"/>
      <c r="J993" s="36"/>
      <c r="K993" s="36"/>
      <c r="L993" s="37"/>
      <c r="M993" s="37"/>
      <c r="N993" s="37"/>
      <c r="O993" s="37"/>
      <c r="P993" s="37"/>
      <c r="Q993" s="37"/>
      <c r="R993" s="37"/>
      <c r="S993" s="37"/>
      <c r="T993" s="37"/>
      <c r="U993" s="36"/>
      <c r="V993" s="37"/>
      <c r="W993" s="37"/>
      <c r="X993" s="37"/>
      <c r="Y993" s="37"/>
      <c r="Z993" s="37"/>
      <c r="AA993" s="37"/>
      <c r="AB993" s="37"/>
      <c r="AC993" s="37"/>
      <c r="AD993" s="37"/>
      <c r="AE993" s="36"/>
      <c r="AF993" s="37"/>
      <c r="AG993" s="37"/>
      <c r="AH993" s="37"/>
      <c r="AI993" s="37"/>
      <c r="AJ993" s="37"/>
      <c r="AK993" s="37"/>
      <c r="AL993" s="37"/>
      <c r="AM993" s="37"/>
      <c r="AN993" s="37"/>
      <c r="AO993" s="36"/>
      <c r="AP993" s="36"/>
    </row>
    <row r="994" spans="2:42" ht="12.75" x14ac:dyDescent="0.2">
      <c r="B994" s="37"/>
      <c r="C994" s="37"/>
      <c r="D994" s="37"/>
      <c r="E994" s="37"/>
      <c r="F994" s="37"/>
      <c r="G994" s="37"/>
      <c r="H994" s="37"/>
      <c r="I994" s="36"/>
      <c r="J994" s="36"/>
      <c r="K994" s="36"/>
      <c r="L994" s="37"/>
      <c r="M994" s="37"/>
      <c r="N994" s="37"/>
      <c r="O994" s="37"/>
      <c r="P994" s="37"/>
      <c r="Q994" s="37"/>
      <c r="R994" s="37"/>
      <c r="S994" s="37"/>
      <c r="T994" s="37"/>
      <c r="U994" s="36"/>
      <c r="V994" s="37"/>
      <c r="W994" s="37"/>
      <c r="X994" s="37"/>
      <c r="Y994" s="37"/>
      <c r="Z994" s="37"/>
      <c r="AA994" s="37"/>
      <c r="AB994" s="37"/>
      <c r="AC994" s="37"/>
      <c r="AD994" s="37"/>
      <c r="AE994" s="36"/>
      <c r="AF994" s="37"/>
      <c r="AG994" s="37"/>
      <c r="AH994" s="37"/>
      <c r="AI994" s="37"/>
      <c r="AJ994" s="37"/>
      <c r="AK994" s="37"/>
      <c r="AL994" s="37"/>
      <c r="AM994" s="37"/>
      <c r="AN994" s="37"/>
      <c r="AO994" s="36"/>
      <c r="AP994" s="36"/>
    </row>
    <row r="995" spans="2:42" ht="12.75" x14ac:dyDescent="0.2">
      <c r="B995" s="37"/>
      <c r="C995" s="37"/>
      <c r="D995" s="37"/>
      <c r="E995" s="37"/>
      <c r="F995" s="37"/>
      <c r="G995" s="37"/>
      <c r="H995" s="37"/>
      <c r="I995" s="36"/>
      <c r="J995" s="36"/>
      <c r="K995" s="36"/>
      <c r="U995" s="36"/>
      <c r="AE995" s="36"/>
      <c r="AF995" s="37"/>
      <c r="AG995" s="37"/>
      <c r="AH995" s="37"/>
      <c r="AI995" s="37"/>
      <c r="AJ995" s="37"/>
      <c r="AK995" s="37"/>
      <c r="AL995" s="37"/>
      <c r="AM995" s="37"/>
      <c r="AN995" s="37"/>
      <c r="AO995" s="36"/>
      <c r="AP995" s="36"/>
    </row>
    <row r="996" spans="2:42" ht="12.75" x14ac:dyDescent="0.2">
      <c r="B996" s="37"/>
      <c r="C996" s="37"/>
      <c r="D996" s="37"/>
      <c r="E996" s="37"/>
      <c r="F996" s="37"/>
      <c r="G996" s="37"/>
      <c r="H996" s="37"/>
      <c r="I996" s="36"/>
      <c r="J996" s="36"/>
      <c r="K996" s="36"/>
      <c r="U996" s="36"/>
      <c r="AE996" s="36"/>
      <c r="AO996" s="36"/>
      <c r="AP996" s="36"/>
    </row>
    <row r="997" spans="2:42" ht="12.75" x14ac:dyDescent="0.2">
      <c r="B997" s="37"/>
      <c r="C997" s="37"/>
      <c r="D997" s="37"/>
      <c r="E997" s="37"/>
      <c r="F997" s="37"/>
      <c r="G997" s="37"/>
      <c r="H997" s="37"/>
      <c r="I997" s="37"/>
      <c r="J997" s="37"/>
      <c r="K997" s="36"/>
      <c r="U997" s="36"/>
      <c r="AE997" s="36"/>
      <c r="AO997" s="36"/>
      <c r="AP997" s="36"/>
    </row>
  </sheetData>
  <mergeCells count="530">
    <mergeCell ref="AF10:AG10"/>
    <mergeCell ref="AH10:AI10"/>
    <mergeCell ref="AJ10:AK10"/>
    <mergeCell ref="AF6:AG6"/>
    <mergeCell ref="AF7:AG7"/>
    <mergeCell ref="AH7:AI7"/>
    <mergeCell ref="AJ7:AK7"/>
    <mergeCell ref="AF8:AG8"/>
    <mergeCell ref="AH8:AI8"/>
    <mergeCell ref="AJ8:AK8"/>
    <mergeCell ref="AH6:AI6"/>
    <mergeCell ref="AJ6:AK6"/>
    <mergeCell ref="AF9:AG9"/>
    <mergeCell ref="AH9:AI9"/>
    <mergeCell ref="AJ9:AK9"/>
    <mergeCell ref="B1:J1"/>
    <mergeCell ref="L1:T1"/>
    <mergeCell ref="V1:AD1"/>
    <mergeCell ref="AF1:AN1"/>
    <mergeCell ref="L2:T2"/>
    <mergeCell ref="V2:AD2"/>
    <mergeCell ref="AF2:AN2"/>
    <mergeCell ref="N4:O4"/>
    <mergeCell ref="P4:Q4"/>
    <mergeCell ref="AH4:AI4"/>
    <mergeCell ref="AJ4:AK4"/>
    <mergeCell ref="AF4:AG4"/>
    <mergeCell ref="B2:J2"/>
    <mergeCell ref="B3:J3"/>
    <mergeCell ref="L3:T3"/>
    <mergeCell ref="V3:AD3"/>
    <mergeCell ref="AF3:AN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AF5:AG5"/>
    <mergeCell ref="V4:W4"/>
    <mergeCell ref="X4:Y4"/>
    <mergeCell ref="L4:M4"/>
    <mergeCell ref="Z4:AA4"/>
    <mergeCell ref="AH5:AI5"/>
    <mergeCell ref="AJ5:AK5"/>
    <mergeCell ref="L7:M7"/>
    <mergeCell ref="N7:O7"/>
    <mergeCell ref="P7:Q7"/>
    <mergeCell ref="V6:W6"/>
    <mergeCell ref="V7:W7"/>
    <mergeCell ref="X7:Y7"/>
    <mergeCell ref="Z7:AA7"/>
    <mergeCell ref="V5:W5"/>
    <mergeCell ref="X5:Y5"/>
    <mergeCell ref="Z5:AA5"/>
    <mergeCell ref="X6:Y6"/>
    <mergeCell ref="Z6:AA6"/>
    <mergeCell ref="L5:M5"/>
    <mergeCell ref="N5:O5"/>
    <mergeCell ref="P5:Q5"/>
    <mergeCell ref="N6:O6"/>
    <mergeCell ref="P6:Q6"/>
    <mergeCell ref="L6:M6"/>
    <mergeCell ref="F8:G8"/>
    <mergeCell ref="L8:M8"/>
    <mergeCell ref="N8:O8"/>
    <mergeCell ref="P8:Q8"/>
    <mergeCell ref="V8:W8"/>
    <mergeCell ref="X8:Y8"/>
    <mergeCell ref="Z8:AA8"/>
    <mergeCell ref="X9:Y9"/>
    <mergeCell ref="Z9:AA9"/>
    <mergeCell ref="X10:Y10"/>
    <mergeCell ref="Z10:AA10"/>
    <mergeCell ref="B10:C10"/>
    <mergeCell ref="D10:E10"/>
    <mergeCell ref="F10:G10"/>
    <mergeCell ref="L10:M10"/>
    <mergeCell ref="N10:O10"/>
    <mergeCell ref="P10:Q10"/>
    <mergeCell ref="V10:W10"/>
    <mergeCell ref="B7:C7"/>
    <mergeCell ref="D7:E7"/>
    <mergeCell ref="F7:G7"/>
    <mergeCell ref="B8:C8"/>
    <mergeCell ref="D8:E8"/>
    <mergeCell ref="X14:Y14"/>
    <mergeCell ref="Z14:AA14"/>
    <mergeCell ref="AF14:AG14"/>
    <mergeCell ref="AH14:AI14"/>
    <mergeCell ref="X11:Y11"/>
    <mergeCell ref="Z11:AA11"/>
    <mergeCell ref="AF11:AG11"/>
    <mergeCell ref="AH11:AI11"/>
    <mergeCell ref="X13:Y13"/>
    <mergeCell ref="Z13:AA13"/>
    <mergeCell ref="AF13:AG13"/>
    <mergeCell ref="AH13:AI13"/>
    <mergeCell ref="B9:C9"/>
    <mergeCell ref="D9:E9"/>
    <mergeCell ref="F9:G9"/>
    <mergeCell ref="L9:M9"/>
    <mergeCell ref="N9:O9"/>
    <mergeCell ref="P9:Q9"/>
    <mergeCell ref="V9:W9"/>
    <mergeCell ref="AJ14:AK14"/>
    <mergeCell ref="B14:C14"/>
    <mergeCell ref="D14:E14"/>
    <mergeCell ref="F14:G14"/>
    <mergeCell ref="L14:M14"/>
    <mergeCell ref="N14:O14"/>
    <mergeCell ref="P14:Q14"/>
    <mergeCell ref="V14:W14"/>
    <mergeCell ref="X15:Y15"/>
    <mergeCell ref="Z15:AA15"/>
    <mergeCell ref="AF15:AG15"/>
    <mergeCell ref="AH15:AI15"/>
    <mergeCell ref="AJ15:AK15"/>
    <mergeCell ref="B15:C15"/>
    <mergeCell ref="D15:E15"/>
    <mergeCell ref="F15:G15"/>
    <mergeCell ref="L15:M15"/>
    <mergeCell ref="N15:O15"/>
    <mergeCell ref="P15:Q15"/>
    <mergeCell ref="V15:W15"/>
    <mergeCell ref="X16:Y16"/>
    <mergeCell ref="Z16:AA16"/>
    <mergeCell ref="AF16:AG16"/>
    <mergeCell ref="AH16:AI16"/>
    <mergeCell ref="AJ16:AK16"/>
    <mergeCell ref="B16:C16"/>
    <mergeCell ref="D16:E16"/>
    <mergeCell ref="F16:G16"/>
    <mergeCell ref="L16:M16"/>
    <mergeCell ref="N16:O16"/>
    <mergeCell ref="P16:Q16"/>
    <mergeCell ref="V16:W16"/>
    <mergeCell ref="X17:Y17"/>
    <mergeCell ref="Z17:AA17"/>
    <mergeCell ref="AF17:AG17"/>
    <mergeCell ref="AH17:AI17"/>
    <mergeCell ref="AJ17:AK17"/>
    <mergeCell ref="B17:C17"/>
    <mergeCell ref="D17:E17"/>
    <mergeCell ref="F17:G17"/>
    <mergeCell ref="L17:M17"/>
    <mergeCell ref="N17:O17"/>
    <mergeCell ref="P17:Q17"/>
    <mergeCell ref="V17:W17"/>
    <mergeCell ref="L25:M25"/>
    <mergeCell ref="N25:O25"/>
    <mergeCell ref="P25:Q25"/>
    <mergeCell ref="L26:M26"/>
    <mergeCell ref="L27:M27"/>
    <mergeCell ref="N27:O27"/>
    <mergeCell ref="P27:Q27"/>
    <mergeCell ref="L28:M28"/>
    <mergeCell ref="N28:O28"/>
    <mergeCell ref="P28:Q28"/>
    <mergeCell ref="N30:O30"/>
    <mergeCell ref="P30:Q30"/>
    <mergeCell ref="L29:M29"/>
    <mergeCell ref="N29:O29"/>
    <mergeCell ref="P29:Q29"/>
    <mergeCell ref="L30:M30"/>
    <mergeCell ref="N33:O33"/>
    <mergeCell ref="P33:Q33"/>
    <mergeCell ref="L31:M31"/>
    <mergeCell ref="N31:O31"/>
    <mergeCell ref="P31:Q31"/>
    <mergeCell ref="L32:M32"/>
    <mergeCell ref="N32:O32"/>
    <mergeCell ref="P32:Q32"/>
    <mergeCell ref="L33:M33"/>
    <mergeCell ref="N45:O45"/>
    <mergeCell ref="P45:Q45"/>
    <mergeCell ref="L43:M43"/>
    <mergeCell ref="N43:O43"/>
    <mergeCell ref="P43:Q43"/>
    <mergeCell ref="L44:M44"/>
    <mergeCell ref="N44:O44"/>
    <mergeCell ref="P44:Q44"/>
    <mergeCell ref="L45:M45"/>
    <mergeCell ref="N48:O48"/>
    <mergeCell ref="P48:Q48"/>
    <mergeCell ref="L46:M46"/>
    <mergeCell ref="N46:O46"/>
    <mergeCell ref="P46:Q46"/>
    <mergeCell ref="L47:M47"/>
    <mergeCell ref="N47:O47"/>
    <mergeCell ref="P47:Q47"/>
    <mergeCell ref="L48:M48"/>
    <mergeCell ref="N51:O51"/>
    <mergeCell ref="P51:Q51"/>
    <mergeCell ref="L53:T53"/>
    <mergeCell ref="L54:Q54"/>
    <mergeCell ref="R54:T54"/>
    <mergeCell ref="L49:M49"/>
    <mergeCell ref="N49:O49"/>
    <mergeCell ref="P49:Q49"/>
    <mergeCell ref="L50:M50"/>
    <mergeCell ref="N50:O50"/>
    <mergeCell ref="P50:Q50"/>
    <mergeCell ref="L51:M51"/>
    <mergeCell ref="L52:M52"/>
    <mergeCell ref="N52:O52"/>
    <mergeCell ref="P52:Q52"/>
    <mergeCell ref="N36:O36"/>
    <mergeCell ref="P36:Q36"/>
    <mergeCell ref="L34:M34"/>
    <mergeCell ref="N34:O34"/>
    <mergeCell ref="P34:Q34"/>
    <mergeCell ref="L35:M35"/>
    <mergeCell ref="N35:O35"/>
    <mergeCell ref="P35:Q35"/>
    <mergeCell ref="L36:M36"/>
    <mergeCell ref="N39:O39"/>
    <mergeCell ref="P39:Q39"/>
    <mergeCell ref="L37:M37"/>
    <mergeCell ref="N37:O37"/>
    <mergeCell ref="P37:Q37"/>
    <mergeCell ref="L38:M38"/>
    <mergeCell ref="N38:O38"/>
    <mergeCell ref="P38:Q38"/>
    <mergeCell ref="L39:M39"/>
    <mergeCell ref="N42:O42"/>
    <mergeCell ref="P42:Q42"/>
    <mergeCell ref="L40:M40"/>
    <mergeCell ref="N40:O40"/>
    <mergeCell ref="P40:Q40"/>
    <mergeCell ref="L41:M41"/>
    <mergeCell ref="N41:O41"/>
    <mergeCell ref="P41:Q41"/>
    <mergeCell ref="L42:M42"/>
    <mergeCell ref="X18:Y18"/>
    <mergeCell ref="Z18:AA18"/>
    <mergeCell ref="AF18:AG18"/>
    <mergeCell ref="AH18:AI18"/>
    <mergeCell ref="AJ18:AK18"/>
    <mergeCell ref="B18:C18"/>
    <mergeCell ref="D18:E18"/>
    <mergeCell ref="F18:G18"/>
    <mergeCell ref="L18:M18"/>
    <mergeCell ref="N18:O18"/>
    <mergeCell ref="P18:Q18"/>
    <mergeCell ref="V18:W18"/>
    <mergeCell ref="X19:Y19"/>
    <mergeCell ref="Z19:AA19"/>
    <mergeCell ref="AF19:AG19"/>
    <mergeCell ref="AH19:AI19"/>
    <mergeCell ref="AJ19:AK19"/>
    <mergeCell ref="B19:C19"/>
    <mergeCell ref="D19:E19"/>
    <mergeCell ref="F19:G19"/>
    <mergeCell ref="L19:M19"/>
    <mergeCell ref="N19:O19"/>
    <mergeCell ref="P19:Q19"/>
    <mergeCell ref="V19:W19"/>
    <mergeCell ref="V21:W21"/>
    <mergeCell ref="X20:Y20"/>
    <mergeCell ref="Z20:AA20"/>
    <mergeCell ref="AF20:AG20"/>
    <mergeCell ref="AH20:AI20"/>
    <mergeCell ref="AJ20:AK20"/>
    <mergeCell ref="B20:C20"/>
    <mergeCell ref="D20:E20"/>
    <mergeCell ref="F20:G20"/>
    <mergeCell ref="L20:M20"/>
    <mergeCell ref="N20:O20"/>
    <mergeCell ref="P20:Q20"/>
    <mergeCell ref="V20:W20"/>
    <mergeCell ref="AJ11:AK11"/>
    <mergeCell ref="B11:C11"/>
    <mergeCell ref="D11:E11"/>
    <mergeCell ref="F11:G11"/>
    <mergeCell ref="L11:M11"/>
    <mergeCell ref="N11:O11"/>
    <mergeCell ref="P11:Q11"/>
    <mergeCell ref="V11:W11"/>
    <mergeCell ref="X12:Y12"/>
    <mergeCell ref="Z12:AA12"/>
    <mergeCell ref="AF12:AG12"/>
    <mergeCell ref="AH12:AI12"/>
    <mergeCell ref="AJ12:AK12"/>
    <mergeCell ref="B12:C12"/>
    <mergeCell ref="D12:E12"/>
    <mergeCell ref="F12:G12"/>
    <mergeCell ref="L12:M12"/>
    <mergeCell ref="N12:O12"/>
    <mergeCell ref="P12:Q12"/>
    <mergeCell ref="V12:W12"/>
    <mergeCell ref="AJ13:AK13"/>
    <mergeCell ref="B13:C13"/>
    <mergeCell ref="D13:E13"/>
    <mergeCell ref="F13:G13"/>
    <mergeCell ref="L13:M13"/>
    <mergeCell ref="N13:O13"/>
    <mergeCell ref="P13:Q13"/>
    <mergeCell ref="V13:W13"/>
    <mergeCell ref="X22:Y22"/>
    <mergeCell ref="Z22:AA22"/>
    <mergeCell ref="AF22:AG22"/>
    <mergeCell ref="AH22:AI22"/>
    <mergeCell ref="AJ22:AK22"/>
    <mergeCell ref="X21:Y21"/>
    <mergeCell ref="Z21:AA21"/>
    <mergeCell ref="AF21:AG21"/>
    <mergeCell ref="AH21:AI21"/>
    <mergeCell ref="AJ21:AK21"/>
    <mergeCell ref="B21:C21"/>
    <mergeCell ref="D21:E21"/>
    <mergeCell ref="F21:G21"/>
    <mergeCell ref="L21:M21"/>
    <mergeCell ref="N21:O21"/>
    <mergeCell ref="P21:Q21"/>
    <mergeCell ref="V23:W23"/>
    <mergeCell ref="X23:Y23"/>
    <mergeCell ref="Z23:AA23"/>
    <mergeCell ref="AF23:AG23"/>
    <mergeCell ref="AH23:AI23"/>
    <mergeCell ref="AJ23:AK23"/>
    <mergeCell ref="B24:G24"/>
    <mergeCell ref="H24:J24"/>
    <mergeCell ref="B22:C22"/>
    <mergeCell ref="D22:E22"/>
    <mergeCell ref="F22:G22"/>
    <mergeCell ref="N22:O22"/>
    <mergeCell ref="P22:Q22"/>
    <mergeCell ref="V22:W22"/>
    <mergeCell ref="B23:J23"/>
    <mergeCell ref="AF24:AG24"/>
    <mergeCell ref="AH24:AI24"/>
    <mergeCell ref="AJ24:AK24"/>
    <mergeCell ref="L22:M22"/>
    <mergeCell ref="L23:M23"/>
    <mergeCell ref="L24:M24"/>
    <mergeCell ref="AF27:AK27"/>
    <mergeCell ref="AL27:AN27"/>
    <mergeCell ref="V25:W25"/>
    <mergeCell ref="X25:Y25"/>
    <mergeCell ref="Z25:AA25"/>
    <mergeCell ref="AF25:AG25"/>
    <mergeCell ref="AH25:AI25"/>
    <mergeCell ref="AJ25:AK25"/>
    <mergeCell ref="N23:O23"/>
    <mergeCell ref="P23:Q23"/>
    <mergeCell ref="N24:O24"/>
    <mergeCell ref="P24:Q24"/>
    <mergeCell ref="V24:W24"/>
    <mergeCell ref="X24:Y24"/>
    <mergeCell ref="Z24:AA24"/>
    <mergeCell ref="N26:O26"/>
    <mergeCell ref="P26:Q26"/>
    <mergeCell ref="X26:Y26"/>
    <mergeCell ref="Z26:AA26"/>
    <mergeCell ref="AF26:AG26"/>
    <mergeCell ref="AH26:AI26"/>
    <mergeCell ref="AJ26:AK26"/>
    <mergeCell ref="V26:W26"/>
    <mergeCell ref="V27:W27"/>
    <mergeCell ref="X27:Y27"/>
    <mergeCell ref="Z27:AA27"/>
    <mergeCell ref="V28:W28"/>
    <mergeCell ref="X28:Y28"/>
    <mergeCell ref="Z28:AA28"/>
    <mergeCell ref="X31:Y31"/>
    <mergeCell ref="Z31:AA31"/>
    <mergeCell ref="V29:W29"/>
    <mergeCell ref="X29:Y29"/>
    <mergeCell ref="Z29:AA29"/>
    <mergeCell ref="V30:W30"/>
    <mergeCell ref="X30:Y30"/>
    <mergeCell ref="Z30:AA30"/>
    <mergeCell ref="V31:W31"/>
    <mergeCell ref="X34:Y34"/>
    <mergeCell ref="Z34:AA34"/>
    <mergeCell ref="V32:W32"/>
    <mergeCell ref="X32:Y32"/>
    <mergeCell ref="Z32:AA32"/>
    <mergeCell ref="V33:W33"/>
    <mergeCell ref="X33:Y33"/>
    <mergeCell ref="Z33:AA33"/>
    <mergeCell ref="V34:W34"/>
    <mergeCell ref="X37:Y37"/>
    <mergeCell ref="Z37:AA37"/>
    <mergeCell ref="V35:W35"/>
    <mergeCell ref="X35:Y35"/>
    <mergeCell ref="Z35:AA35"/>
    <mergeCell ref="V36:W36"/>
    <mergeCell ref="X36:Y36"/>
    <mergeCell ref="Z36:AA36"/>
    <mergeCell ref="V37:W37"/>
    <mergeCell ref="X68:Y68"/>
    <mergeCell ref="Z68:AA68"/>
    <mergeCell ref="V66:W66"/>
    <mergeCell ref="X66:Y66"/>
    <mergeCell ref="Z66:AA66"/>
    <mergeCell ref="V67:W67"/>
    <mergeCell ref="X67:Y67"/>
    <mergeCell ref="Z67:AA67"/>
    <mergeCell ref="V68:W68"/>
    <mergeCell ref="X71:Y71"/>
    <mergeCell ref="Z71:AA71"/>
    <mergeCell ref="V69:W69"/>
    <mergeCell ref="X69:Y69"/>
    <mergeCell ref="Z69:AA69"/>
    <mergeCell ref="V70:W70"/>
    <mergeCell ref="X70:Y70"/>
    <mergeCell ref="Z70:AA70"/>
    <mergeCell ref="V71:W71"/>
    <mergeCell ref="X74:Y74"/>
    <mergeCell ref="Z74:AA74"/>
    <mergeCell ref="V72:W72"/>
    <mergeCell ref="X72:Y72"/>
    <mergeCell ref="Z72:AA72"/>
    <mergeCell ref="V73:W73"/>
    <mergeCell ref="X73:Y73"/>
    <mergeCell ref="Z73:AA73"/>
    <mergeCell ref="V74:W74"/>
    <mergeCell ref="X77:Y77"/>
    <mergeCell ref="Z77:AA77"/>
    <mergeCell ref="V75:W75"/>
    <mergeCell ref="X75:Y75"/>
    <mergeCell ref="Z75:AA75"/>
    <mergeCell ref="V76:W76"/>
    <mergeCell ref="X76:Y76"/>
    <mergeCell ref="Z76:AA76"/>
    <mergeCell ref="V77:W77"/>
    <mergeCell ref="X80:Y80"/>
    <mergeCell ref="Z80:AA80"/>
    <mergeCell ref="V82:AD82"/>
    <mergeCell ref="V83:AA83"/>
    <mergeCell ref="AB83:AD83"/>
    <mergeCell ref="V78:W78"/>
    <mergeCell ref="X78:Y78"/>
    <mergeCell ref="Z78:AA78"/>
    <mergeCell ref="V79:W79"/>
    <mergeCell ref="X79:Y79"/>
    <mergeCell ref="Z79:AA79"/>
    <mergeCell ref="V80:W80"/>
    <mergeCell ref="V81:W81"/>
    <mergeCell ref="X81:Y81"/>
    <mergeCell ref="Z81:AA81"/>
    <mergeCell ref="X40:Y40"/>
    <mergeCell ref="Z40:AA40"/>
    <mergeCell ref="V38:W38"/>
    <mergeCell ref="X38:Y38"/>
    <mergeCell ref="Z38:AA38"/>
    <mergeCell ref="V39:W39"/>
    <mergeCell ref="X39:Y39"/>
    <mergeCell ref="Z39:AA39"/>
    <mergeCell ref="V40:W40"/>
    <mergeCell ref="X43:Y43"/>
    <mergeCell ref="Z43:AA43"/>
    <mergeCell ref="V41:W41"/>
    <mergeCell ref="X41:Y41"/>
    <mergeCell ref="Z41:AA41"/>
    <mergeCell ref="V42:W42"/>
    <mergeCell ref="X42:Y42"/>
    <mergeCell ref="Z42:AA42"/>
    <mergeCell ref="V43:W43"/>
    <mergeCell ref="V44:W44"/>
    <mergeCell ref="X44:Y44"/>
    <mergeCell ref="Z44:AA44"/>
    <mergeCell ref="V45:W45"/>
    <mergeCell ref="X45:Y45"/>
    <mergeCell ref="Z45:AA45"/>
    <mergeCell ref="X48:Y48"/>
    <mergeCell ref="Z48:AA48"/>
    <mergeCell ref="V46:W46"/>
    <mergeCell ref="X46:Y46"/>
    <mergeCell ref="Z46:AA46"/>
    <mergeCell ref="V47:W47"/>
    <mergeCell ref="X47:Y47"/>
    <mergeCell ref="Z47:AA47"/>
    <mergeCell ref="V48:W48"/>
    <mergeCell ref="X51:Y51"/>
    <mergeCell ref="Z51:AA51"/>
    <mergeCell ref="V49:W49"/>
    <mergeCell ref="X49:Y49"/>
    <mergeCell ref="Z49:AA49"/>
    <mergeCell ref="V50:W50"/>
    <mergeCell ref="X50:Y50"/>
    <mergeCell ref="Z50:AA50"/>
    <mergeCell ref="V51:W51"/>
    <mergeCell ref="X54:Y54"/>
    <mergeCell ref="Z54:AA54"/>
    <mergeCell ref="V52:W52"/>
    <mergeCell ref="X52:Y52"/>
    <mergeCell ref="Z52:AA52"/>
    <mergeCell ref="V53:W53"/>
    <mergeCell ref="X53:Y53"/>
    <mergeCell ref="Z53:AA53"/>
    <mergeCell ref="V54:W54"/>
    <mergeCell ref="X57:Y57"/>
    <mergeCell ref="Z57:AA57"/>
    <mergeCell ref="V55:W55"/>
    <mergeCell ref="X55:Y55"/>
    <mergeCell ref="Z55:AA55"/>
    <mergeCell ref="V56:W56"/>
    <mergeCell ref="X56:Y56"/>
    <mergeCell ref="Z56:AA56"/>
    <mergeCell ref="V57:W57"/>
    <mergeCell ref="X60:Y60"/>
    <mergeCell ref="Z60:AA60"/>
    <mergeCell ref="V58:W58"/>
    <mergeCell ref="X58:Y58"/>
    <mergeCell ref="Z58:AA58"/>
    <mergeCell ref="V59:W59"/>
    <mergeCell ref="X59:Y59"/>
    <mergeCell ref="Z59:AA59"/>
    <mergeCell ref="V60:W60"/>
    <mergeCell ref="V64:W64"/>
    <mergeCell ref="X64:Y64"/>
    <mergeCell ref="Z64:AA64"/>
    <mergeCell ref="V65:W65"/>
    <mergeCell ref="X65:Y65"/>
    <mergeCell ref="Z65:AA65"/>
    <mergeCell ref="X63:Y63"/>
    <mergeCell ref="Z63:AA63"/>
    <mergeCell ref="V61:W61"/>
    <mergeCell ref="X61:Y61"/>
    <mergeCell ref="Z61:AA61"/>
    <mergeCell ref="V62:W62"/>
    <mergeCell ref="X62:Y62"/>
    <mergeCell ref="Z62:AA62"/>
    <mergeCell ref="V63:W63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Activos depreciables bajas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ALMACEN-2</dc:creator>
  <cp:lastModifiedBy>ALMACEN-2</cp:lastModifiedBy>
  <dcterms:created xsi:type="dcterms:W3CDTF">2025-06-20T22:16:56Z</dcterms:created>
  <dcterms:modified xsi:type="dcterms:W3CDTF">2025-09-17T15:10:15Z</dcterms:modified>
</cp:coreProperties>
</file>